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1">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
      <b val="1"/>
      <color rgb="001F497D"/>
    </font>
  </fonts>
  <fills count="22">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
      <patternFill patternType="solid">
        <fgColor rgb="FFFFCC99"/>
        <bgColor rgb="FFFFCC99"/>
      </patternFill>
    </fill>
    <fill>
      <patternFill patternType="solid">
        <fgColor rgb="FFE2EFDA"/>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87">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xf numFmtId="0" fontId="0" fillId="16" borderId="0" applyAlignment="1" pivotButton="0" quotePrefix="0" xfId="0">
      <alignment horizontal="center"/>
    </xf>
    <xf numFmtId="0" fontId="30" fillId="0" borderId="0" pivotButton="0" quotePrefix="0" xfId="0"/>
    <xf numFmtId="0" fontId="0" fillId="19" borderId="0" pivotButton="0" quotePrefix="0" xfId="0"/>
    <xf numFmtId="0" fontId="26" fillId="20" borderId="0" pivotButton="0" quotePrefix="0" xfId="0"/>
    <xf numFmtId="0" fontId="0" fillId="20" borderId="0" pivotButton="0" quotePrefix="0" xfId="0"/>
    <xf numFmtId="0" fontId="4" fillId="3" borderId="0" pivotButton="0" quotePrefix="0" xfId="0"/>
    <xf numFmtId="0" fontId="24" fillId="0" borderId="0" pivotButton="0" quotePrefix="0" xfId="0"/>
    <xf numFmtId="0" fontId="21" fillId="12" borderId="0" pivotButton="0" quotePrefix="0" xfId="0"/>
    <xf numFmtId="0" fontId="21" fillId="0" borderId="0" pivotButton="0" quotePrefix="0" xfId="0"/>
    <xf numFmtId="0" fontId="27" fillId="8" borderId="0" pivotButton="0" quotePrefix="0" xfId="0"/>
    <xf numFmtId="0" fontId="0" fillId="15" borderId="0" pivotButton="0" quotePrefix="0" xfId="0"/>
    <xf numFmtId="0" fontId="0" fillId="21" borderId="0" pivotButton="0" quotePrefix="0" xfId="0"/>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CE3.0 Model</author>
  </authors>
  <commentList>
    <comment ref="B15" authorId="0" shapeId="0">
      <text>
        <t>⚠ ECOINVENT REPLACEMENT REQUIRED
Current value 0.05 is ILLUSTRATIVE.
Recommended ecoinvent 3.9 query:
  'treatment of municipal solid waste by incineration'
  → select 'drying / pre-treatment' subprocess if available,
    or allocate ~3–8% of total incineration GWP to this stage.
For SE Asian context: use ecoinvent RoW (rest-of-world) process.
Replace before thesis submission.</t>
      </text>
    </comment>
    <comment ref="B16" authorId="0" shapeId="0">
      <text>
        <t>⚠ ECOINVENT REPLACEMENT REQUIRED
Current value 0.80 is ILLUSTRATIVE (IPCC 2006 range: 0.8–1.1).
Recommended ecoinvent 3.9 query:
  'treatment of municipal solid waste by incineration'
  → use total incineration GWP factor for thermal decomp stage,
    or adopt the full process GWP as a single conservative factor.
For SE Asian context: use ecoinvent RoW (rest-of-world) process.
Replace before thesis submission.</t>
      </text>
    </comment>
    <comment ref="B17" authorId="0" shapeId="0">
      <text>
        <t>⚠ ECOINVENT REPLACEMENT REQUIRED
Current value 0.02 is ILLUSTRATIVE.
Recommended ecoinvent 3.9 query:
  'treatment of municipal solid waste by incineration'
  → slag/bottom ash sub-process or residue handling GWP.
Typically &lt;5% of total incineration GWP.
For SE Asian context: use ecoinvent RoW (rest-of-world) process.
Replace before thesis submission.</t>
      </text>
    </comment>
    <comment ref="B18" authorId="0" shapeId="0">
      <text>
        <t>⚠ ECOINVENT REPLACEMENT REQUIRED
Current value 2.5e-9 CTUh/kg is ILLUSTRATIVE.
Recommended ecoinvent 3.9 query:
  'treatment of municipal solid waste by incineration'
  → select HTP characterisation factor (RoW process).
Replace before thesis submission.</t>
      </text>
    </comment>
    <comment ref="B19" authorId="0" shapeId="0">
      <text>
        <t>⚠ ECOINVENT REPLACEMENT REQUIRED
Current value 0.002 m2yr/kg is ILLUSTRATIVE.
Recommended ecoinvent 3.9 query:
  'treatment of municipal solid waste by incineration'
  → select LUP characterisation factor (RoW process).
Replace before thesis submission.</t>
      </text>
    </comment>
    <comment ref="B20" authorId="0" shapeId="0">
      <text>
        <t>⚠ ECOINVENT REPLACEMENT REQUIRED
Current value 0.8 MJ/kg is ILLUSTRATIVE.
Recommended ecoinvent 3.9 query:
  'treatment of municipal solid waste by incineration'
  → select CED (non-renewable) characterisation factor (RoW process).
Replace before thesis submission.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76"/>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t="n">
        <v>6</v>
      </c>
      <c r="B73" t="inlineStr">
        <is>
          <t>Receiver_Organic_Agri</t>
        </is>
      </c>
      <c r="C73" t="inlineStr">
        <is>
          <t>Receiver</t>
        </is>
      </c>
      <c r="D73" t="inlineStr">
        <is>
          <t>ORGANIC_WASTE</t>
        </is>
      </c>
      <c r="E73" s="80" t="n">
        <v>10.945</v>
      </c>
      <c r="F73" s="80" t="n">
        <v>106.71</v>
      </c>
      <c r="G73" s="80" t="n">
        <v>8</v>
      </c>
      <c r="H73" s="80" t="n">
        <v>0.25</v>
      </c>
      <c r="J73" t="inlineStr">
        <is>
          <t>01</t>
        </is>
      </c>
      <c r="K73" t="inlineStr">
        <is>
          <t>Crop and animal production</t>
        </is>
      </c>
      <c r="L73" t="inlineStr">
        <is>
          <t>A01</t>
        </is>
      </c>
      <c r="M73" t="inlineStr">
        <is>
          <t>Agricultural cooperative or fertiliser distributor. Receives compost from BIWASE composting facility as soil amendment for Binh Duong region farms. IS pathway: organic waste → composting → compost product → agricultural Receiver.</t>
        </is>
      </c>
      <c r="N73" t="inlineStr">
        <is>
          <t>ORGANIC_WASTE (compost buyer)</t>
        </is>
      </c>
      <c r="O73" t="inlineStr">
        <is>
          <t>Binh Duong Province, Vietnam (representative agricultural node) [ILLUSTRATIVE]</t>
        </is>
      </c>
    </row>
    <row r="74" ht="18" customHeight="1" s="67">
      <c r="A74" s="6" t="n"/>
      <c r="B74" s="6" t="inlineStr">
        <is>
          <t>VSIP1 Recycling Intermediate</t>
        </is>
      </c>
      <c r="C74" s="6" t="inlineStr">
        <is>
          <t>Intermediate</t>
        </is>
      </c>
      <c r="D74" s="6" t="inlineStr">
        <is>
          <t>ALL</t>
        </is>
      </c>
      <c r="E74" s="40" t="n">
        <v>10.93</v>
      </c>
      <c r="F74" s="40" t="n">
        <v>106.72</v>
      </c>
      <c r="G74" s="6" t="n"/>
      <c r="H74" s="6" t="n">
        <v>0.2</v>
      </c>
      <c r="J74" s="6" t="n"/>
      <c r="K74" s="6" t="n"/>
      <c r="L74" s="6" t="n"/>
      <c r="M74" s="6" t="inlineStr">
        <is>
          <t>Central recycling hub</t>
        </is>
      </c>
      <c r="N74" s="6" t="n"/>
      <c r="O74" s="6" t="n"/>
      <c r="P74" s="6" t="n"/>
      <c r="Q74" s="6" t="inlineStr">
        <is>
          <t>No</t>
        </is>
      </c>
      <c r="R74" s="6" t="inlineStr">
        <is>
          <t>No</t>
        </is>
      </c>
      <c r="S74" s="6" t="inlineStr">
        <is>
          <t>Model assumption (central hub location)</t>
        </is>
      </c>
      <c r="T74" s="7" t="n"/>
      <c r="U74" s="7" t="n"/>
    </row>
    <row r="75" ht="18" customHeight="1" s="67">
      <c r="A75" s="2" t="n"/>
      <c r="B75" s="2" t="inlineStr">
        <is>
          <t>Da Phuoc Landfill</t>
        </is>
      </c>
      <c r="C75" s="2" t="inlineStr">
        <is>
          <t>EndOfLife</t>
        </is>
      </c>
      <c r="D75" s="2" t="inlineStr">
        <is>
          <t>ALL</t>
        </is>
      </c>
      <c r="E75" s="2" t="n">
        <v>10.665415</v>
      </c>
      <c r="F75" s="2" t="n">
        <v>106.665886</v>
      </c>
      <c r="G75" s="2" t="n"/>
      <c r="H75" s="2" t="n">
        <v>0.2</v>
      </c>
      <c r="J75" s="2" t="n"/>
      <c r="K75" s="2" t="n"/>
      <c r="L75" s="2" t="n"/>
      <c r="M75"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5" s="2" t="n"/>
      <c r="O75" s="2" t="inlineStr">
        <is>
          <t>Phước Hiệp, Bình Chánh, HCMC</t>
        </is>
      </c>
      <c r="P75" s="2" t="n"/>
      <c r="Q75" s="2" t="inlineStr">
        <is>
          <t>No</t>
        </is>
      </c>
      <c r="R75" s="2" t="inlineStr">
        <is>
          <t>Yes</t>
        </is>
      </c>
      <c r="S75"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5" s="2" t="n">
        <v>20</v>
      </c>
      <c r="U75" s="2" t="inlineStr">
        <is>
          <t>SGD/t</t>
        </is>
      </c>
    </row>
    <row r="76" ht="18" customHeight="1" s="67">
      <c r="A76" s="7" t="n"/>
      <c r="B76" s="7" t="inlineStr">
        <is>
          <t xml:space="preserve">BIWASE ETS Waste Treatment Complex </t>
        </is>
      </c>
      <c r="C76" s="5" t="inlineStr">
        <is>
          <t>EndOfLife</t>
        </is>
      </c>
      <c r="D76" s="5" t="inlineStr">
        <is>
          <t>ALL</t>
        </is>
      </c>
      <c r="E76" s="5" t="n">
        <v>11.085</v>
      </c>
      <c r="F76" s="8" t="n">
        <v>106.59</v>
      </c>
      <c r="G76" s="7" t="n"/>
      <c r="H76" s="7" t="n">
        <v>0.2</v>
      </c>
      <c r="J76" s="7" t="n"/>
      <c r="K76" s="7" t="n"/>
      <c r="L76" s="7" t="n"/>
      <c r="M76"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6" s="7" t="n"/>
      <c r="O76" s="9" t="inlineStr">
        <is>
          <t>No. 39, Group 8, Quarter 1B, Chanh Phu Hoa Ward, Ben Cat City, Binh Duong Province, Vietnam</t>
        </is>
      </c>
      <c r="P76" s="7" t="n"/>
      <c r="Q76" s="7" t="inlineStr">
        <is>
          <t>No</t>
        </is>
      </c>
      <c r="R76" s="7" t="inlineStr">
        <is>
          <t>No</t>
        </is>
      </c>
      <c r="S76"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6" s="7" t="n"/>
      <c r="U76" s="7" t="n"/>
    </row>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Y8"/>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c r="W2" s="84" t="inlineStr">
        <is>
          <t>pw_landfillShare</t>
        </is>
      </c>
      <c r="X2" s="84" t="inlineStr">
        <is>
          <t>pw_incinerationShare</t>
        </is>
      </c>
      <c r="Y2" s="84" t="inlineStr">
        <is>
          <t>sum_check (must=1.0)</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c r="W3" s="85" t="n">
        <v>0.74</v>
      </c>
      <c r="X3" s="85" t="n">
        <v>0.26</v>
      </c>
      <c r="Y3" s="86">
        <f>W3+X3</f>
        <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c r="W4" s="85" t="n">
        <v>0.89</v>
      </c>
      <c r="X4" s="85" t="n">
        <v>0.11</v>
      </c>
      <c r="Y4" s="86">
        <f>W4+X4</f>
        <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c r="W5" s="85" t="n">
        <v>0.9399999999999999</v>
      </c>
      <c r="X5" s="85" t="n">
        <v>0.06</v>
      </c>
      <c r="Y5" s="86">
        <f>W5+X5</f>
        <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c r="W6" s="85" t="n">
        <v>0.5600000000000001</v>
      </c>
      <c r="X6" s="85" t="n">
        <v>0.44</v>
      </c>
      <c r="Y6" s="86">
        <f>W6+X6</f>
        <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c r="W7" s="85" t="n">
        <v>0.89</v>
      </c>
      <c r="X7" s="85" t="n">
        <v>0.11</v>
      </c>
      <c r="Y7" s="86">
        <f>W7+X7</f>
        <v/>
      </c>
    </row>
    <row r="8">
      <c r="A8" t="inlineStr">
        <is>
          <t>ORGANIC_WASTE</t>
        </is>
      </c>
      <c r="B8" s="37" t="n">
        <v>0.2</v>
      </c>
      <c r="C8" s="37" t="n">
        <v>0.18</v>
      </c>
      <c r="D8" s="37" t="n">
        <v>0.055</v>
      </c>
      <c r="E8" s="37" t="n">
        <v>0.52</v>
      </c>
      <c r="F8" s="37" t="n">
        <v>0.001</v>
      </c>
      <c r="G8" s="37" t="n">
        <v>0.002</v>
      </c>
      <c r="H8" s="37" t="n">
        <v>0.001</v>
      </c>
      <c r="I8" s="37" t="n">
        <v>0.001</v>
      </c>
      <c r="J8" s="37" t="n">
        <v>0.0005</v>
      </c>
      <c r="K8" s="37" t="n">
        <v>0.0001</v>
      </c>
      <c r="L8" s="37" t="n">
        <v>1.5</v>
      </c>
      <c r="M8" s="37" t="n">
        <v>0.3</v>
      </c>
      <c r="N8" s="37" t="n">
        <v>0.02</v>
      </c>
      <c r="O8" s="37" t="n">
        <v>50</v>
      </c>
      <c r="P8" s="37" t="n">
        <v>80</v>
      </c>
      <c r="Q8" s="37" t="n">
        <v>20</v>
      </c>
      <c r="R8" t="n">
        <v>60</v>
      </c>
      <c r="S8">
        <f>R8*1.35</f>
        <v/>
      </c>
      <c r="T8" t="inlineStr">
        <is>
          <t>ESCAR (2019) BIWASE composting facility, Binh Duong; compost price proxy SE Asia market [ILLUSTRATIVE]</t>
        </is>
      </c>
      <c r="U8" t="inlineStr">
        <is>
          <t>ConversionEff 20%: 5:1 organic waste to compost (ESCAR pp.34-39). GWP_Composting 0.055 kg CO2-eq/kg: ecoinvent 3.9 biowaste composting proxy [ILLUSTRATIVE]. GWP_Landfill 0.52: CH4 biogenic fraction from organic waste landfill [ILLUSTRATIVE]. compostPrice 80 SGD/t = 60 USD/t: SE Asia compost market proxy. All LCA factors [ILLUSTRATIVE] — must be replaced with ecoinvent 3.9 values from CE30_EcoinventSearchStrings.md section E.</t>
        </is>
      </c>
      <c r="V8" s="37" t="n">
        <v>-5</v>
      </c>
      <c r="W8" s="85" t="n">
        <v>0.86</v>
      </c>
      <c r="X8" s="85" t="n">
        <v>0.14</v>
      </c>
      <c r="Y8" s="86">
        <f>W8+X8</f>
        <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5"/>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row r="14">
      <c r="A14" s="81" t="inlineStr">
        <is>
          <t>ORGANIC_WASTE</t>
        </is>
      </c>
      <c r="B14" s="81" t="inlineStr">
        <is>
          <t>Conversion Efficiency (Composting)</t>
        </is>
      </c>
      <c r="C14" s="82" t="n">
        <v>0.2</v>
      </c>
      <c r="D14" s="81" t="inlineStr">
        <is>
          <t>fraction</t>
        </is>
      </c>
      <c r="E14" s="81" t="inlineStr">
        <is>
          <t>conversionEffPerMat[5]</t>
        </is>
      </c>
    </row>
    <row r="15">
      <c r="A15" s="83" t="inlineStr">
        <is>
          <t>ORGANIC_WASTE</t>
        </is>
      </c>
      <c r="B15" s="83" t="inlineStr">
        <is>
          <t>processingEfficiency (ORGANIC_WASTE)</t>
        </is>
      </c>
      <c r="C15" s="82" t="n">
        <v>0.9</v>
      </c>
      <c r="D15" s="83" t="inlineStr">
        <is>
          <t>fraction</t>
        </is>
      </c>
      <c r="E15" s="83" t="inlineStr">
        <is>
          <t>processingEffPerMat[5]</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B3:B5"/>
    <mergeCell ref="A1:B1"/>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inlineStr">
        <is>
          <t>TruckBaseWeight_t</t>
        </is>
      </c>
      <c r="N2" s="61" t="inlineStr">
        <is>
          <t>Source_baseWeight</t>
        </is>
      </c>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78" t="n">
        <v>8</v>
      </c>
      <c r="N3" s="61" t="inlineStr">
        <is>
          <t>Unladen mass ~8 t for medium waste truck (5-10 t payload class). TCVN 7271:2003; [ASSUMED-LIT]</t>
        </is>
      </c>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31"/>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5">
      <c r="A15" t="inlineStr">
        <is>
          <t>gwpFactor_drying_kgCO2eqPerKg</t>
        </is>
      </c>
      <c r="B15" s="75" t="n">
        <v>0.05</v>
      </c>
      <c r="C15" t="inlineStr">
        <is>
          <t>kg CO2-eq / kg waste</t>
        </is>
      </c>
      <c r="D15" t="inlineStr">
        <is>
          <t>GWP emission factor for waste drying stage in batch incineration. Represents GHG from moisture evaporation and pre-heating (indirect energy and steam release). ILLUSTRATIVE — replace with ecoinvent 3.9 process data before thesis submission.</t>
        </is>
      </c>
      <c r="E15" t="inlineStr">
        <is>
          <t>IPCC 2006 NGGIP Vol.5 Ch.5; Arena 2012 (Waste Management). Placeholder 0.05 kg CO2-eq/kg. Lower bound of drying-stage GHG: typically 2–8% of total incineration impact.</t>
        </is>
      </c>
      <c r="F15" t="inlineStr">
        <is>
          <t>⚠ NOT VERIFIED — replace with ecoinvent 3.9 'treatment of municipal solid waste by incineration' (RoW) before thesis submission</t>
        </is>
      </c>
    </row>
    <row r="16">
      <c r="A16" t="inlineStr">
        <is>
          <t>gwpFactor_thermalDecomp_kgCO2eqPerKg</t>
        </is>
      </c>
      <c r="B16" s="75" t="n">
        <v>0.8</v>
      </c>
      <c r="C16" t="inlineStr">
        <is>
          <t>kg CO2-eq / kg waste</t>
        </is>
      </c>
      <c r="D16" t="inlineStr">
        <is>
          <t>GWP emission factor for thermal decomposition stage (primary combustion chamber, 850–1000°C). Represents direct CO2 from oxidation of organic fraction. ILLUSTRATIVE — replace with ecoinvent 3.9 process data.</t>
        </is>
      </c>
      <c r="E16" t="inlineStr">
        <is>
          <t>IPCC 2006 mixed waste combustion EF: 0.8–1.1 kg CO2/kg (wet basis). Value 0.80 used here (lower end for mixed industrial waste with significant inorganic fraction). Update with BIWASE-specific fuel characterisation.</t>
        </is>
      </c>
      <c r="F16" t="inlineStr">
        <is>
          <t>⚠ NOT VERIFIED — replace with ecoinvent 3.9 'treatment of municipal solid waste by incineration' (RoW) before thesis submission</t>
        </is>
      </c>
    </row>
    <row r="17">
      <c r="A17" t="inlineStr">
        <is>
          <t>gwpFactor_slagFormation_kgCO2eqPerKg</t>
        </is>
      </c>
      <c r="B17" s="75" t="n">
        <v>0.02</v>
      </c>
      <c r="C17" t="inlineStr">
        <is>
          <t>kg CO2-eq / kg waste</t>
        </is>
      </c>
      <c r="D17" t="inlineStr">
        <is>
          <t>GWP emission factor for slag/ash formation stage (bottom ash stabilisation and residue handling). Represents residual oxidation and mineral carbonation reactions producing bottom ash. ILLUSTRATIVE — replace with ecoinvent data.</t>
        </is>
      </c>
      <c r="E17" t="inlineStr">
        <is>
          <t>Estimated from ecoinvent 3.9 "treatment of municipal solid waste, incineration" process. Slag-related GHG typically &lt;5% of total incineration GWP. 0.02 kg CO2-eq/kg used as indicative value.</t>
        </is>
      </c>
      <c r="F17" t="inlineStr">
        <is>
          <t>⚠ NOT VERIFIED — replace with ecoinvent 3.9 'treatment of municipal solid waste by incineration' (RoW) before thesis submission</t>
        </is>
      </c>
    </row>
    <row r="18">
      <c r="A18" t="inlineStr">
        <is>
          <t>htpFactor_incineration_CTUhPerKg</t>
        </is>
      </c>
      <c r="B18" s="68" t="n">
        <v>2.5e-09</v>
      </c>
      <c r="C18" t="inlineStr">
        <is>
          <t>CTUh / kg waste</t>
        </is>
      </c>
      <c r="D18" t="inlineStr">
        <is>
          <t>Human Toxicity Potential (HTP) emission factor for waste incineration at BIWASE. Accounts for toxic emissions (dioxins, heavy metals) from combustion of mixed industrial/MSW waste. ILLUSTRATIVE — replace with ecoinvent 3.9 'treatment of municipal solid waste by incineration' (RoW) before thesis submission.</t>
        </is>
      </c>
      <c r="E18" t="inlineStr">
        <is>
          <t>Indicative value from ecoinvent 3.9 incineration process characterisation factors (CTUh / kg). Range: 1e-9 to 1e-8 CTUh/kg depending on flue gas treatment level. BIWASE operates bag filter + scrubber — use mid-range estimate. ILLUSTRATIVE ONLY.</t>
        </is>
      </c>
      <c r="F18" t="inlineStr">
        <is>
          <t>⚠ NOT VERIFIED — replace with ecoinvent 3.9 'treatment of municipal solid waste by incineration' (RoW) before thesis submission</t>
        </is>
      </c>
    </row>
    <row r="19">
      <c r="A19" t="inlineStr">
        <is>
          <t>lupFactor_incineration_m2yrPerKg</t>
        </is>
      </c>
      <c r="B19" s="68" t="n">
        <v>0.002</v>
      </c>
      <c r="C19" t="inlineStr">
        <is>
          <t>m2yr / kg waste</t>
        </is>
      </c>
      <c r="D19" t="inlineStr">
        <is>
          <t>Land Use Potential (LUP) emission factor for waste incineration. Represents land occupation for BIWASE facility footprint and ash disposal area per kg processed. ILLUSTRATIVE — replace with ecoinvent 3.9 'treatment of municipal solid waste by incineration' (RoW) before thesis submission.</t>
        </is>
      </c>
      <c r="E19" t="inlineStr">
        <is>
          <t>Indicative estimate based on ecoinvent 3.9 LUP characterisation for incineration (RoW). LUP is typically small for incineration vs. landfill. ILLUSTRATIVE ONLY.</t>
        </is>
      </c>
      <c r="F19" t="inlineStr">
        <is>
          <t>⚠ NOT VERIFIED — replace with ecoinvent 3.9 'treatment of municipal solid waste by incineration' (RoW) before thesis submission</t>
        </is>
      </c>
    </row>
    <row r="20">
      <c r="A20" t="inlineStr">
        <is>
          <t>cedFactor_incineration_MJPerKg</t>
        </is>
      </c>
      <c r="B20" s="68" t="n">
        <v>0.8</v>
      </c>
      <c r="C20" t="inlineStr">
        <is>
          <t>MJ / kg waste</t>
        </is>
      </c>
      <c r="D20" t="inlineStr">
        <is>
          <t>Cumulative Energy Demand (CED) for waste incineration at BIWASE. Represents non-renewable primary energy consumed per kg of waste processed (auxiliary fuel, electrical auxiliary loads, flue gas treatment). ILLUSTRATIVE — replace with ecoinvent 3.9 'treatment of municipal solid waste by incineration' (RoW) before thesis submission.</t>
        </is>
      </c>
      <c r="E20" t="inlineStr">
        <is>
          <t>Indicative value: BIWASE operates a two-chamber incinerator at 850–1000°C with oil/gas auxiliary burner. CED typical range 0.4–1.5 MJ/kg for industrial incineration. ILLUSTRATIVE ONLY — replace with ecoinvent 3.9 RoW process.</t>
        </is>
      </c>
      <c r="F20" t="inlineStr">
        <is>
          <t>⚠ NOT VERIFIED — replace with ecoinvent 3.9 'treatment of municipal solid waste by incineration' (RoW) before thesis submission</t>
        </is>
      </c>
    </row>
    <row r="22">
      <c r="A22" s="76" t="inlineStr">
        <is>
          <t>── Process Waste Fate &amp; NoIS Disposal Arrays (Consensus-validated 2026-04-02) ──</t>
        </is>
      </c>
    </row>
    <row r="23">
      <c r="A23" t="inlineStr">
        <is>
          <t>pw_landfillSharePerMat[]</t>
        </is>
      </c>
      <c r="B23" t="inlineStr">
        <is>
          <t>[0.70, 0.80, 0.85, 0.50, 0.85]</t>
        </is>
      </c>
      <c r="C23" t="inlineStr">
        <is>
          <t>fraction [PLASTIC/PAPER/Fe/TEXTILE/NFe]</t>
        </is>
      </c>
      <c r="D23" t="inlineStr">
        <is>
          <t>Hard-coded in ALP Main (not read from Excel). Recycling residue → landfill per material.</t>
        </is>
      </c>
      <c r="E23" t="inlineStr">
        <is>
          <t>[LIT] Vietnam ET Journal 2024; SE Asia MSW 2023 (Sustainability); Thai Al LCA 2025 (IOP); Energies 2024 (Textile)</t>
        </is>
      </c>
    </row>
    <row r="24">
      <c r="A24" t="inlineStr">
        <is>
          <t>pw_incinerationSharePerMat[]</t>
        </is>
      </c>
      <c r="B24" t="inlineStr">
        <is>
          <t>[0.25, 0.10, 0.05, 0.40, 0.10]</t>
        </is>
      </c>
      <c r="C24" t="inlineStr">
        <is>
          <t>fraction [PLASTIC/PAPER/Fe/TEXTILE/NFe]</t>
        </is>
      </c>
      <c r="D24" t="inlineStr">
        <is>
          <t>Hard-coded in ALP Main (not read from Excel). Recycling residue → incineration per material.</t>
        </is>
      </c>
      <c r="E24" t="inlineStr">
        <is>
          <t>[LIT] SE Asia open burning (ES&amp;T 2020); Energies 2024; Thai Al 2025; HCMC MSW 2016</t>
        </is>
      </c>
    </row>
    <row r="25">
      <c r="A25" s="76" t="inlineStr">
        <is>
          <t>noIS_landfillShare[] / noIS_incinerationShare[]</t>
        </is>
      </c>
      <c r="B25" t="inlineStr">
        <is>
          <t>LF:[0.70,0.80,0.15,0.55,0.15] / IN:[0.25,0.10,0.05,0.35,0.05]</t>
        </is>
      </c>
      <c r="C25" t="inlineStr">
        <is>
          <t>fraction [PLASTIC/PAPER/Fe/TEXTILE/NFe]</t>
        </is>
      </c>
      <c r="D25" t="inlineStr">
        <is>
          <t>BAU disposal (useIS=false). Hard-coded in ALP Main. [0],[1] PLASTIC/PAPER aligned to pw_* arrays — modeling assumption subject to sensitivity analysis [ASSUMED]. [2],[4] FERROUS/NON_FERROUS low shares reflect informal scrap dealer diversion (Wilson et al. 2006; Nguyen et al. 2019) [LIT].</t>
        </is>
      </c>
      <c r="E25" t="inlineStr">
        <is>
          <t>[LIT] Vietnam TV MFA 2018 (RCR, metals); HCMC MSW 2016; Vietnam plastic 2024; Energies 2024; Thai Al LCA 2025</t>
        </is>
      </c>
    </row>
    <row r="26">
      <c r="A26" t="inlineStr">
        <is>
          <t>bottomAsh_massFraction</t>
        </is>
      </c>
      <c r="B26" s="77" t="n">
        <v>0.25</v>
      </c>
      <c r="C26" t="inlineStr">
        <is>
          <t>fraction</t>
        </is>
      </c>
      <c r="D26" t="inlineStr">
        <is>
          <t>AnyLogic reads: getCellNumericValue('Intermediate', 26, 2)</t>
        </is>
      </c>
      <c r="E26" t="inlineStr">
        <is>
          <t>[LIT] Bottom ash = 25% of incinerated waste mass. IEA Bioenergy Task 36; EU WID reference.</t>
        </is>
      </c>
    </row>
    <row r="27">
      <c r="A27" t="inlineStr">
        <is>
          <t>flyAsh_massFraction</t>
        </is>
      </c>
      <c r="B27" s="77" t="n">
        <v>0.04</v>
      </c>
      <c r="C27" t="inlineStr">
        <is>
          <t>fraction</t>
        </is>
      </c>
      <c r="D27" t="inlineStr">
        <is>
          <t>AnyLogic reads: getCellNumericValue('Intermediate', 27, 2)</t>
        </is>
      </c>
      <c r="E27" t="inlineStr">
        <is>
          <t>[LIT] Fly ash = 4% mass fraction (hazardous). EU WID 2000/76/EC; ecoinvent 3.9 MSWI reference.</t>
        </is>
      </c>
    </row>
    <row r="28">
      <c r="A28" s="76" t="inlineStr">
        <is>
          <t>ferrousGrade_assumption</t>
        </is>
      </c>
      <c r="B28" t="inlineStr">
        <is>
          <t>HMS1 equivalent</t>
        </is>
      </c>
      <c r="C28" t="inlineStr">
        <is>
          <t>[ASSUMED]</t>
        </is>
      </c>
      <c r="D28" t="inlineStr">
        <is>
          <t>Assumed grade for FERROUS_METAL(2): HMS1 (Heavy Melting Scrap Grade 1, ≥6mm, clean of non-metallics). Dominant traded grade in Vietnamese industrial scrap markets. See futurenotes.txt [9] for full grading discussion. Price reference: ~280–320 USD/t HCMC 2022–2023 (VASMA, [GREY]).</t>
        </is>
      </c>
      <c r="E28" t="inlineStr">
        <is>
          <t>Graedel et al. 2011; Daigo et al. 2017; VASMA [GREY] [ASSUMED]</t>
        </is>
      </c>
    </row>
    <row r="30">
      <c r="A30" t="inlineStr">
        <is>
          <t>── MSW 50/50 incineration/landfill split ──</t>
        </is>
      </c>
    </row>
    <row r="31">
      <c r="A31" t="inlineStr">
        <is>
          <t>msw_incinerationFrac_of_49pct</t>
        </is>
      </c>
      <c r="B31" t="n">
        <v>0.5</v>
      </c>
      <c r="C31" t="inlineStr">
        <is>
          <t>fraction</t>
        </is>
      </c>
      <c r="D31" t="inlineStr">
        <is>
          <t>xxx: MODELING ASSUMPTION — 50% of MSW non-recyclable fraction (49.5%) goes to incineration, 50% to landfill. Subject to sensitivity analysis. No ESCAR data for this split. BIWASE WtE capacity 201.6 tpd vs ~2990 tpd MSW received → WtE can only handle ~6.7% of total. Assumption needs calibration before thesis submission. [ASSUMED]</t>
        </is>
      </c>
    </row>
  </sheetData>
  <mergeCells count="1">
    <mergeCell ref="A1:E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10"/>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row r="9">
      <c r="A9" t="inlineStr">
        <is>
          <t>2026-04-01</t>
        </is>
      </c>
      <c r="B9" t="inlineStr">
        <is>
          <t>Replace ILLUSTRATIVE combustion GWP stage factors (B15–B17 in Intermediate sheet) with validated ecoinvent 3.9 values. Query: 'treatment of municipal solid waste by incineration' (ecoinvent 3.9, RoW process). Assign GWP proportionally to drying, thermal decomposition, and slag formation stages, or use full-process factor conservatively at thermal stage (B16). Also update source citations in column E of Intermediate sheet.</t>
        </is>
      </c>
      <c r="C9" t="inlineStr">
        <is>
          <t>High</t>
        </is>
      </c>
      <c r="D9" t="inlineStr">
        <is>
          <t>No</t>
        </is>
      </c>
      <c r="F9" t="inlineStr">
        <is>
          <t>Affects GWPActualIncineration (Intermediate) and GWPActualProcess (Provider non-IS path). AnyLogic reads: Intermediate!B15 (drying), B16 (thermalDecomp), B17 (slagFormation). chkRange bounds: 0.0–10.0 kg CO2-eq/kg. Both CombustionSink.onEnter and Provider IS_Rejected state use these factors.</t>
        </is>
      </c>
    </row>
    <row r="10">
      <c r="A10" t="inlineStr">
        <is>
          <t>2026-04-01</t>
        </is>
      </c>
      <c r="B10" t="inlineStr">
        <is>
          <t>Search and add emission factors for plastic scrap recycling steps (shredding, washing, separation, extrusion) for Vietnam/SE Asia region. ecoinvent 3.9 query: 'treatment of plastic waste, via mechanical recycling' (RoW or CN geography). Add per-step EF rows to Intermediate Excel sheet for all four impact categories: GWP (kg CO2-eq/kg), HTP (CTUh/kg), CED (MJ/kg), LUP (m2yr/kg). Wire into each recyclShredding / recyclWashing / recyclSeparation / recyclExtrusion onEnter action in Intermediate agent. Consider system-expansion credit for avoided virgin polymer at extrusion step — document as explicit methodology choice in thesis.</t>
        </is>
      </c>
      <c r="C10" t="inlineStr">
        <is>
          <t>High</t>
        </is>
      </c>
      <c r="D10" t="inlineStr">
        <is>
          <t>No</t>
        </is>
      </c>
      <c r="F10" t="inlineStr">
        <is>
          <t>Affects GWPActualProcess, HTPActualProcess, LUPActualProcess, CEDActualProcess for the IS pathway. Without these, recycling LCA impact is zero — understates processing cost of the IS route.</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row r="5">
      <c r="A5" t="inlineStr">
        <is>
          <t>brickYield_tPerTAsh</t>
        </is>
      </c>
      <c r="B5" s="79" t="n">
        <v>0.3</v>
      </c>
      <c r="C5" t="inlineStr">
        <is>
          <t>t bricks / t bottom ash</t>
        </is>
      </c>
      <c r="D5" t="inlineStr">
        <is>
          <t>~300-400 bricks per tonne ash at 2-3 kg/brick. Default 0.30 [ILLUSTRATIVE]. xxx: replace with BIWASE operational data before submission. Source: [TRAINING]. AnyLogic reads: getCellNumericValue('Intermediate Investment', 5, 2)</t>
        </is>
      </c>
    </row>
    <row r="6">
      <c r="A6" t="inlineStr">
        <is>
          <t>brickPrice_SGD_t</t>
        </is>
      </c>
      <c r="B6" s="79" t="n">
        <v>150</v>
      </c>
      <c r="C6" t="inlineStr">
        <is>
          <t>SGD / tonne bricks</t>
        </is>
      </c>
      <c r="D6" t="inlineStr">
        <is>
          <t>Market price for BIWASE ash-fired bricks. Vietnamese hollow brick ~30-50 USD/t. Default 150 SGD/t [ILLUSTRATIVE]. xxx: replace with BIWASE market price before submission. [TRAINING]. AnyLogic reads: getCellNumericValue('Intermediate Investment', 6, 2)</t>
        </is>
      </c>
    </row>
    <row r="7">
      <c r="A7" t="inlineStr">
        <is>
          <t>brickPlantCapex_SGD</t>
        </is>
      </c>
      <c r="B7" s="79" t="n">
        <v>500000</v>
      </c>
      <c r="C7" t="inlineStr">
        <is>
          <t>SGD</t>
        </is>
      </c>
      <c r="D7" t="inlineStr">
        <is>
          <t>Brick kiln CAPEX. ESCAR p.70: tunnel kiln 100,000 bricks/day capacity. Vietnam tunnel kiln ~300k-1M USD. Default 500,000 SGD [ILLUSTRATIVE]. Deducted at t=0 with storage + recycling plant CAPEX. xxx: replace with actual BIWASE capital cost before submission. [TRAINING]. AnyLogic reads: getCellNumericValue('Intermediate Investment', 7, 2)</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2026-04-22T11:45:47Z</dcterms:modified>
  <cp:lastModifiedBy>Caterina Puccio</cp:lastModifiedBy>
  <cp:revision>0</cp:revision>
</cp:coreProperties>
</file>