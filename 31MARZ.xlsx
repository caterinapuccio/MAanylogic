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58" firstSheet="0" activeTab="4" autoFilterDateGrouping="1"/>
  </bookViews>
  <sheets>
    <sheet xmlns:r="http://schemas.openxmlformats.org/officeDocument/2006/relationships" name="Companies_Listing" sheetId="1" state="visible" r:id="rId1"/>
    <sheet xmlns:r="http://schemas.openxmlformats.org/officeDocument/2006/relationships" name="Materials" sheetId="2" state="visible" r:id="rId2"/>
    <sheet xmlns:r="http://schemas.openxmlformats.org/officeDocument/2006/relationships" name="recycling_and processingfactors" sheetId="3" state="visible" r:id="rId3"/>
    <sheet xmlns:r="http://schemas.openxmlformats.org/officeDocument/2006/relationships" name="emissionFactors" sheetId="4" state="visible" r:id="rId4"/>
    <sheet xmlns:r="http://schemas.openxmlformats.org/officeDocument/2006/relationships" name="Baseline" sheetId="5" state="visible" r:id="rId5"/>
    <sheet xmlns:r="http://schemas.openxmlformats.org/officeDocument/2006/relationships" name="TruckFleet" sheetId="6" state="visible" r:id="rId6"/>
    <sheet xmlns:r="http://schemas.openxmlformats.org/officeDocument/2006/relationships" name="Intermediate" sheetId="7" state="visible" r:id="rId7"/>
    <sheet xmlns:r="http://schemas.openxmlformats.org/officeDocument/2006/relationships" name="SecondaryMaterialPrices" sheetId="8" state="visible" r:id="rId8"/>
    <sheet xmlns:r="http://schemas.openxmlformats.org/officeDocument/2006/relationships" name="to do before submitting" sheetId="9" state="visible" r:id="rId9"/>
    <sheet xmlns:r="http://schemas.openxmlformats.org/officeDocument/2006/relationships" name="Intermediate Investment" sheetId="10" state="visible" r:id="rId10"/>
  </sheets>
  <definedNames/>
  <calcPr calcId="191029" fullCalcOnLoad="1"/>
</workbook>
</file>

<file path=xl/styles.xml><?xml version="1.0" encoding="utf-8"?>
<styleSheet xmlns="http://schemas.openxmlformats.org/spreadsheetml/2006/main">
  <numFmts count="2">
    <numFmt numFmtId="164" formatCode="#,##0.00000"/>
    <numFmt numFmtId="165" formatCode="_-* #,##0_-;\-* #,##0_-;_-* \-??_-;_-@_-"/>
  </numFmts>
  <fonts count="31">
    <font>
      <name val="Calibri"/>
      <charset val="1"/>
      <family val="2"/>
      <color theme="1"/>
      <sz val="11"/>
    </font>
    <font>
      <name val="Calibri"/>
      <charset val="1"/>
      <family val="2"/>
      <color theme="1"/>
      <sz val="12"/>
    </font>
    <font>
      <name val="Arial"/>
      <charset val="1"/>
      <b val="1"/>
      <color rgb="FFFFFFFF"/>
      <sz val="9"/>
    </font>
    <font>
      <name val="Arial"/>
      <charset val="1"/>
      <color rgb="FF000000"/>
      <sz val="10"/>
    </font>
    <font>
      <name val="Arial"/>
      <charset val="1"/>
      <color rgb="FF0000FF"/>
      <sz val="10"/>
    </font>
    <font>
      <name val="Arial"/>
      <charset val="1"/>
      <family val="2"/>
      <color theme="1"/>
      <sz val="11"/>
    </font>
    <font>
      <name val="Calibri"/>
      <charset val="1"/>
      <family val="2"/>
      <sz val="11"/>
    </font>
    <font>
      <name val="Cambria"/>
      <charset val="1"/>
      <i val="1"/>
      <color rgb="FF0000CD"/>
      <sz val="9"/>
    </font>
    <font>
      <name val="Arial"/>
      <charset val="1"/>
      <sz val="9"/>
    </font>
    <font>
      <name val="Arial"/>
      <charset val="1"/>
      <b val="1"/>
      <color rgb="FF1F497D"/>
      <sz val="9"/>
    </font>
    <font>
      <name val="Arial"/>
      <charset val="1"/>
      <family val="2"/>
      <color theme="1"/>
      <sz val="12"/>
    </font>
    <font>
      <name val="Arial"/>
      <charset val="1"/>
      <family val="2"/>
      <color rgb="FF000000"/>
      <sz val="12"/>
    </font>
    <font>
      <name val="Calibri"/>
      <charset val="1"/>
      <family val="2"/>
      <sz val="10"/>
    </font>
    <font>
      <name val="Cambria"/>
      <charset val="1"/>
      <b val="1"/>
      <color rgb="FFA04000"/>
      <sz val="11"/>
    </font>
    <font>
      <name val="Cambria"/>
      <charset val="1"/>
      <b val="1"/>
      <color rgb="FF1F497D"/>
      <sz val="13"/>
    </font>
    <font>
      <name val="Cambria"/>
      <charset val="1"/>
      <i val="1"/>
      <color rgb="FF555555"/>
      <sz val="9"/>
    </font>
    <font>
      <name val="Cambria"/>
      <charset val="1"/>
      <sz val="10"/>
    </font>
    <font>
      <name val="Cambria"/>
      <charset val="1"/>
      <b val="1"/>
      <sz val="10"/>
    </font>
    <font>
      <name val="Cambria"/>
      <charset val="1"/>
      <sz val="9"/>
    </font>
    <font>
      <name val="Courier New"/>
      <charset val="1"/>
      <color rgb="FF005500"/>
      <sz val="9"/>
    </font>
    <font>
      <name val="Arial"/>
      <b val="1"/>
      <color rgb="FFFFFFFF"/>
      <sz val="10"/>
    </font>
    <font>
      <name val="Arial"/>
      <color rgb="FF0070C0"/>
      <sz val="9"/>
    </font>
    <font>
      <name val="Arial"/>
      <b val="1"/>
      <color rgb="FF000000"/>
      <sz val="9"/>
    </font>
    <font>
      <name val="Arial"/>
      <b val="1"/>
      <color rgb="FF000000"/>
      <sz val="11"/>
    </font>
    <font>
      <name val="Arial"/>
      <color rgb="FF000000"/>
      <sz val="9"/>
    </font>
    <font>
      <name val="Calibri"/>
      <b val="1"/>
      <color rgb="FFFFFFFF"/>
      <sz val="11"/>
    </font>
    <font>
      <name val="Calibri"/>
      <sz val="11"/>
    </font>
    <font>
      <b val="1"/>
      <color rgb="FFFFFFFF"/>
    </font>
    <font>
      <b val="1"/>
      <color rgb="00FF0000"/>
    </font>
    <font>
      <b val="1"/>
      <color rgb="00FFFFFF"/>
    </font>
    <font>
      <b val="1"/>
      <color rgb="001F497D"/>
    </font>
  </fonts>
  <fills count="20">
    <fill>
      <patternFill/>
    </fill>
    <fill>
      <patternFill patternType="gray125"/>
    </fill>
    <fill>
      <patternFill patternType="solid">
        <fgColor rgb="FF1F497D"/>
        <bgColor rgb="FF003366"/>
      </patternFill>
    </fill>
    <fill>
      <patternFill patternType="solid">
        <fgColor rgb="FFFFFFFF"/>
        <bgColor rgb="FFEAF0FB"/>
      </patternFill>
    </fill>
    <fill>
      <patternFill patternType="solid">
        <fgColor rgb="FFEAF0FB"/>
        <bgColor rgb="FFD6E4F0"/>
      </patternFill>
    </fill>
    <fill>
      <patternFill patternType="solid">
        <fgColor rgb="FFFF6B00"/>
        <bgColor rgb="FFFF9900"/>
      </patternFill>
    </fill>
    <fill>
      <patternFill patternType="solid">
        <fgColor theme="0" tint="-0.1499984740745262"/>
        <bgColor rgb="FFD6E4F0"/>
      </patternFill>
    </fill>
    <fill>
      <patternFill patternType="solid">
        <fgColor rgb="FFD6E4F0"/>
        <bgColor rgb="FFD9D9D9"/>
      </patternFill>
    </fill>
    <fill>
      <patternFill patternType="solid">
        <fgColor rgb="FF1F497D"/>
      </patternFill>
    </fill>
    <fill>
      <patternFill patternType="solid">
        <fgColor rgb="FFDCE6F1"/>
      </patternFill>
    </fill>
    <fill>
      <patternFill patternType="solid">
        <fgColor rgb="FFFFFFFF"/>
      </patternFill>
    </fill>
    <fill>
      <patternFill patternType="solid">
        <fgColor rgb="FFFFC000"/>
      </patternFill>
    </fill>
    <fill>
      <patternFill patternType="solid">
        <fgColor theme="9" tint="0.7999816888943144"/>
        <bgColor indexed="64"/>
      </patternFill>
    </fill>
    <fill>
      <patternFill patternType="solid">
        <fgColor theme="9" tint="0.7999816888943144"/>
        <bgColor rgb="FFEAF0FB"/>
      </patternFill>
    </fill>
    <fill>
      <patternFill patternType="solid">
        <fgColor theme="9" tint="0.7999816888943144"/>
        <bgColor rgb="FFD6E4F0"/>
      </patternFill>
    </fill>
    <fill>
      <patternFill patternType="solid">
        <fgColor rgb="FFFFCC99"/>
      </patternFill>
    </fill>
    <fill>
      <patternFill patternType="solid">
        <fgColor rgb="00FFCC99"/>
        <bgColor rgb="00FFCC99"/>
      </patternFill>
    </fill>
    <fill>
      <patternFill patternType="solid">
        <fgColor rgb="00FF6B00"/>
      </patternFill>
    </fill>
    <fill>
      <patternFill patternType="solid">
        <fgColor rgb="001F497D"/>
      </patternFill>
    </fill>
    <fill>
      <patternFill patternType="solid">
        <fgColor rgb="00FFCC99"/>
      </patternFill>
    </fill>
  </fills>
  <borders count="14">
    <border>
      <left/>
      <right/>
      <top/>
      <bottom/>
      <diagonal/>
    </border>
    <border>
      <left style="thin">
        <color rgb="FFB0B8C1"/>
      </left>
      <right style="thin">
        <color rgb="FFB0B8C1"/>
      </right>
      <top style="thin">
        <color rgb="FFB0B8C1"/>
      </top>
      <bottom style="thin">
        <color rgb="FFB0B8C1"/>
      </bottom>
      <diagonal/>
    </border>
    <border>
      <left/>
      <right/>
      <top style="thin">
        <color rgb="FFB0B8C1"/>
      </top>
      <bottom style="thin">
        <color rgb="FFB0B8C1"/>
      </bottom>
      <diagonal/>
    </border>
    <border>
      <left/>
      <right style="thin">
        <color rgb="FFB0B8C1"/>
      </right>
      <top style="thin">
        <color rgb="FFB0B8C1"/>
      </top>
      <bottom style="thin">
        <color rgb="FFB0B8C1"/>
      </bottom>
      <diagonal/>
    </border>
    <border>
      <left style="thin">
        <color rgb="FFB0B8C1"/>
      </left>
      <right style="thin">
        <color rgb="FFB0B8C1"/>
      </right>
      <top/>
      <bottom/>
      <diagonal/>
    </border>
    <border>
      <left style="thin">
        <color rgb="FFB0B8C1"/>
      </left>
      <right style="thin">
        <color rgb="FFB0B8C1"/>
      </right>
      <top/>
      <bottom style="thin">
        <color rgb="FFB0B8C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0B8C1"/>
      </left>
      <right/>
      <top/>
      <bottom/>
      <diagonal/>
    </border>
    <border>
      <left/>
      <right/>
      <top style="thin">
        <color rgb="FFB0B8C1"/>
      </top>
      <bottom/>
      <diagonal/>
    </border>
    <border>
      <left/>
      <right style="thin">
        <color rgb="FFB0B8C1"/>
      </right>
      <top style="thin">
        <color rgb="FFB0B8C1"/>
      </top>
      <bottom/>
      <diagonal/>
    </border>
  </borders>
  <cellStyleXfs count="2">
    <xf numFmtId="0" fontId="0" fillId="0" borderId="0"/>
    <xf numFmtId="0" fontId="1" fillId="0" borderId="0"/>
  </cellStyleXfs>
  <cellXfs count="78">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164" fontId="0"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6" borderId="0" pivotButton="0" quotePrefix="0" xfId="0"/>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165" fontId="10" fillId="4" borderId="1" applyAlignment="1" pivotButton="0" quotePrefix="0" xfId="0">
      <alignment horizontal="center" vertical="center" wrapText="1"/>
    </xf>
    <xf numFmtId="165" fontId="10" fillId="3" borderId="1" applyAlignment="1" pivotButton="0" quotePrefix="0" xfId="0">
      <alignment horizontal="center" vertical="center" wrapText="1"/>
    </xf>
    <xf numFmtId="1" fontId="10" fillId="3" borderId="1" applyAlignment="1" pivotButton="0" quotePrefix="0" xfId="0">
      <alignment horizontal="center" vertical="center" wrapText="1"/>
    </xf>
    <xf numFmtId="1" fontId="10" fillId="4"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6" borderId="0" applyAlignment="1" pivotButton="0" quotePrefix="0" xfId="0">
      <alignment vertical="center"/>
    </xf>
    <xf numFmtId="0" fontId="13"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3" borderId="1" applyAlignment="1" pivotButton="0" quotePrefix="0" xfId="0">
      <alignment horizontal="center" vertical="center" wrapText="1"/>
    </xf>
    <xf numFmtId="0" fontId="16"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20" fillId="8" borderId="6" applyAlignment="1" pivotButton="0" quotePrefix="0" xfId="0">
      <alignment horizontal="center" vertical="center" wrapText="1"/>
    </xf>
    <xf numFmtId="0" fontId="21" fillId="10" borderId="6" applyAlignment="1" pivotButton="0" quotePrefix="0" xfId="0">
      <alignment horizontal="center" vertical="center" wrapText="1"/>
    </xf>
    <xf numFmtId="0" fontId="24" fillId="9" borderId="6" applyAlignment="1" pivotButton="0" quotePrefix="0" xfId="0">
      <alignment horizontal="center" vertical="center" wrapText="1"/>
    </xf>
    <xf numFmtId="0" fontId="24" fillId="10" borderId="6" applyAlignment="1" pivotButton="0" quotePrefix="0" xfId="0">
      <alignment horizontal="center" vertical="center" wrapText="1"/>
    </xf>
    <xf numFmtId="0" fontId="0" fillId="12" borderId="0" pivotButton="0" quotePrefix="0" xfId="0"/>
    <xf numFmtId="0" fontId="21" fillId="12" borderId="6"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0" fillId="0" borderId="0" pivotButton="0" quotePrefix="0" xfId="0"/>
    <xf numFmtId="0" fontId="23" fillId="9" borderId="6" applyAlignment="1" pivotButton="0" quotePrefix="0" xfId="0">
      <alignment horizontal="left" vertical="center"/>
    </xf>
    <xf numFmtId="0" fontId="0" fillId="0" borderId="7" pivotButton="0" quotePrefix="0" xfId="0"/>
    <xf numFmtId="0" fontId="0" fillId="0" borderId="8" pivotButton="0" quotePrefix="0" xfId="0"/>
    <xf numFmtId="0" fontId="22" fillId="11" borderId="6" applyAlignment="1" pivotButton="0" quotePrefix="0" xfId="0">
      <alignment horizontal="left" vertical="center" wrapText="1"/>
    </xf>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0" borderId="3" pivotButton="0" quotePrefix="0" xfId="0"/>
    <xf numFmtId="0" fontId="2" fillId="5" borderId="1" applyAlignment="1" pivotButton="0" quotePrefix="0" xfId="0">
      <alignment horizontal="center" vertical="center" wrapText="1"/>
    </xf>
    <xf numFmtId="0" fontId="0" fillId="0" borderId="2" pivotButton="0" quotePrefix="0" xfId="0"/>
    <xf numFmtId="0" fontId="15" fillId="3" borderId="1" applyAlignment="1" pivotButton="0" quotePrefix="0" xfId="0">
      <alignment horizontal="center" vertical="center" wrapText="1"/>
    </xf>
    <xf numFmtId="0" fontId="14" fillId="3" borderId="1" applyAlignment="1" pivotButton="0" quotePrefix="0" xfId="0">
      <alignment horizontal="center" vertical="center" wrapText="1"/>
    </xf>
    <xf numFmtId="0" fontId="25" fillId="8" borderId="0" applyAlignment="1" pivotButton="0" quotePrefix="0" xfId="0">
      <alignment horizontal="center" vertical="center" wrapText="1"/>
    </xf>
    <xf numFmtId="0" fontId="0" fillId="15" borderId="0" applyAlignment="1" pivotButton="0" quotePrefix="0" xfId="0">
      <alignment horizontal="center" vertical="center"/>
    </xf>
    <xf numFmtId="0" fontId="25" fillId="8" borderId="1" applyAlignment="1" pivotButton="0" quotePrefix="0" xfId="0">
      <alignment horizontal="center" vertical="center" wrapText="1"/>
    </xf>
    <xf numFmtId="0" fontId="26" fillId="0" borderId="0" pivotButton="0" quotePrefix="0" xfId="0"/>
    <xf numFmtId="0" fontId="26" fillId="15" borderId="1" applyAlignment="1" pivotButton="0" quotePrefix="0" xfId="0">
      <alignment horizontal="center" vertical="center" wrapText="1"/>
    </xf>
    <xf numFmtId="0" fontId="26" fillId="15"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1" applyAlignment="1" pivotButton="0" quotePrefix="0" xfId="0">
      <alignment horizontal="center" vertical="center" wrapText="1"/>
    </xf>
    <xf numFmtId="0" fontId="0" fillId="15" borderId="0" applyAlignment="1" pivotButton="0" quotePrefix="0" xfId="0">
      <alignment horizontal="center"/>
    </xf>
    <xf numFmtId="0" fontId="0" fillId="0" borderId="0" pivotButton="0" quotePrefix="0" xfId="0"/>
    <xf numFmtId="0" fontId="0" fillId="16" borderId="0" pivotButton="0" quotePrefix="0" xfId="0"/>
    <xf numFmtId="0" fontId="27" fillId="0" borderId="0" pivotButton="0" quotePrefix="0" xfId="0"/>
    <xf numFmtId="0" fontId="28" fillId="0" borderId="0" applyAlignment="1" pivotButton="0" quotePrefix="0" xfId="0">
      <alignment wrapText="1"/>
    </xf>
    <xf numFmtId="0" fontId="29" fillId="17" borderId="0" applyAlignment="1" pivotButton="0" quotePrefix="0" xfId="0">
      <alignment vertical="top" wrapText="1"/>
    </xf>
    <xf numFmtId="0" fontId="29" fillId="18" borderId="0" applyAlignment="1" pivotButton="0" quotePrefix="0" xfId="0">
      <alignment vertical="top" wrapText="1"/>
    </xf>
    <xf numFmtId="0" fontId="0" fillId="0" borderId="0" applyAlignment="1" pivotButton="0" quotePrefix="0" xfId="0">
      <alignment vertical="top" wrapText="1"/>
    </xf>
    <xf numFmtId="0" fontId="0" fillId="19" borderId="0" applyAlignment="1" pivotButton="0" quotePrefix="0" xfId="0">
      <alignment vertical="top" wrapText="1"/>
    </xf>
    <xf numFmtId="0" fontId="0" fillId="16" borderId="0" applyAlignment="1" pivotButton="0" quotePrefix="0" xfId="0">
      <alignment horizontal="center"/>
    </xf>
    <xf numFmtId="0" fontId="30" fillId="0" borderId="0" pivotButton="0" quotePrefix="0" xfId="0"/>
    <xf numFmtId="0" fontId="0" fillId="19" borderId="0" pivotButton="0" quotePrefix="0" xfId="0"/>
  </cellXfs>
  <cellStyles count="2">
    <cellStyle name="Standard" xfId="0" builtinId="0"/>
    <cellStyle name="Standard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8C1"/>
      <rgbColor rgb="FF808080"/>
      <rgbColor rgb="FF9999FF"/>
      <rgbColor rgb="FF993366"/>
      <rgbColor rgb="FFFFFFCC"/>
      <rgbColor rgb="FFEAF0FB"/>
      <rgbColor rgb="FF660066"/>
      <rgbColor rgb="FFFF8080"/>
      <rgbColor rgb="FF0066CC"/>
      <rgbColor rgb="FFD9D9D9"/>
      <rgbColor rgb="FF000080"/>
      <rgbColor rgb="FFFF00FF"/>
      <rgbColor rgb="FFFFFF00"/>
      <rgbColor rgb="FF00FFFF"/>
      <rgbColor rgb="FF800080"/>
      <rgbColor rgb="FF800000"/>
      <rgbColor rgb="FF008080"/>
      <rgbColor rgb="FF0000CD"/>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B00"/>
      <rgbColor rgb="FF555555"/>
      <rgbColor rgb="FF969696"/>
      <rgbColor rgb="FF003366"/>
      <rgbColor rgb="FF339966"/>
      <rgbColor rgb="FF005500"/>
      <rgbColor rgb="FF333300"/>
      <rgbColor rgb="FFA040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CE3.0 Model</author>
  </authors>
  <commentList>
    <comment ref="B15" authorId="0" shapeId="0">
      <text>
        <t>⚠ ECOINVENT REPLACEMENT REQUIRED
Current value 0.05 is ILLUSTRATIVE.
Recommended ecoinvent 3.9 query:
  'treatment of municipal solid waste by incineration'
  → select 'drying / pre-treatment' subprocess if available,
    or allocate ~3–8% of total incineration GWP to this stage.
For SE Asian context: use ecoinvent RoW (rest-of-world) process.
Replace before thesis submission.</t>
      </text>
    </comment>
    <comment ref="B16" authorId="0" shapeId="0">
      <text>
        <t>⚠ ECOINVENT REPLACEMENT REQUIRED
Current value 0.80 is ILLUSTRATIVE (IPCC 2006 range: 0.8–1.1).
Recommended ecoinvent 3.9 query:
  'treatment of municipal solid waste by incineration'
  → use total incineration GWP factor for thermal decomp stage,
    or adopt the full process GWP as a single conservative factor.
For SE Asian context: use ecoinvent RoW (rest-of-world) process.
Replace before thesis submission.</t>
      </text>
    </comment>
    <comment ref="B17" authorId="0" shapeId="0">
      <text>
        <t>⚠ ECOINVENT REPLACEMENT REQUIRED
Current value 0.02 is ILLUSTRATIVE.
Recommended ecoinvent 3.9 query:
  'treatment of municipal solid waste by incineration'
  → slag/bottom ash sub-process or residue handling GWP.
Typically &lt;5% of total incineration GWP.
For SE Asian context: use ecoinvent RoW (rest-of-world) process.
Replace before thesis submission.</t>
      </text>
    </comment>
    <comment ref="B18" authorId="0" shapeId="0">
      <text>
        <t>⚠ ECOINVENT REPLACEMENT REQUIRED
Current value 2.5e-9 CTUh/kg is ILLUSTRATIVE.
Recommended ecoinvent 3.9 query:
  'treatment of municipal solid waste by incineration'
  → select HTP characterisation factor (RoW process).
Replace before thesis submission.</t>
      </text>
    </comment>
    <comment ref="B19" authorId="0" shapeId="0">
      <text>
        <t>⚠ ECOINVENT REPLACEMENT REQUIRED
Current value 0.002 m2yr/kg is ILLUSTRATIVE.
Recommended ecoinvent 3.9 query:
  'treatment of municipal solid waste by incineration'
  → select LUP characterisation factor (RoW process).
Replace before thesis submission.</t>
      </text>
    </comment>
    <comment ref="B20" authorId="0" shapeId="0">
      <text>
        <t>⚠ ECOINVENT REPLACEMENT REQUIRED
Current value 0.8 MJ/kg is ILLUSTRATIVE.
Recommended ecoinvent 3.9 query:
  'treatment of municipal solid waste by incineration'
  → select CED (non-renewable) characterisation factor (RoW process).
Replace before thesis submission.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75"/>
  <sheetViews>
    <sheetView zoomScale="85" zoomScaleNormal="85" workbookViewId="0">
      <pane ySplit="1" topLeftCell="A2" activePane="bottomLeft" state="frozen"/>
      <selection pane="bottomLeft" activeCell="L3" sqref="L3"/>
    </sheetView>
  </sheetViews>
  <sheetFormatPr baseColWidth="10" defaultColWidth="8.7265625" defaultRowHeight="14.25" customHeight="1"/>
  <cols>
    <col width="6" customWidth="1" style="67" min="1" max="1"/>
    <col width="38" customWidth="1" style="67" min="2" max="2"/>
    <col width="10" customWidth="1" style="67" min="3" max="3"/>
    <col width="16" customWidth="1" style="67" min="4" max="4"/>
    <col width="10" customWidth="1" style="67" min="5" max="6"/>
    <col width="24.1796875" bestFit="1" customWidth="1" style="67" min="7" max="7"/>
    <col width="14" customWidth="1" style="67" min="8" max="8"/>
    <col width="8" customWidth="1" style="67" min="9" max="9"/>
    <col width="30" customWidth="1" style="67" min="10" max="10"/>
    <col width="8" customWidth="1" style="67" min="11" max="11"/>
    <col width="35" customWidth="1" style="67" min="12" max="12"/>
    <col width="47.7265625" bestFit="1" customWidth="1" style="67" min="13" max="13"/>
    <col width="25" customWidth="1" style="67" min="14" max="14"/>
    <col width="10" customWidth="1" style="67" min="15" max="17"/>
    <col width="40" customWidth="1" style="67" min="18" max="18"/>
    <col width="12" customWidth="1" style="67" min="19" max="20"/>
  </cols>
  <sheetData>
    <row r="1" ht="21.75" customHeight="1" s="67">
      <c r="A1" s="1" t="inlineStr">
        <is>
          <t>ID</t>
        </is>
      </c>
      <c r="B1" s="1" t="inlineStr">
        <is>
          <t>CompanyName</t>
        </is>
      </c>
      <c r="C1" s="1" t="inlineStr">
        <is>
          <t>AgentType</t>
        </is>
      </c>
      <c r="D1" s="1" t="inlineStr">
        <is>
          <t>Material</t>
        </is>
      </c>
      <c r="E1" s="1" t="inlineStr">
        <is>
          <t>Latitude</t>
        </is>
      </c>
      <c r="F1" s="1" t="inlineStr">
        <is>
          <t>Longitude</t>
        </is>
      </c>
      <c r="G1" s="1" t="inlineStr">
        <is>
          <t>AvgSupplyOrDemand_tWeek</t>
        </is>
      </c>
      <c r="H1" s="1" t="inlineStr">
        <is>
          <t>Variability_fraction</t>
        </is>
      </c>
      <c r="I1" s="58" t="inlineStr">
        <is>
          <t>TruckCount</t>
        </is>
      </c>
      <c r="J1" s="1" t="inlineStr">
        <is>
          <t>VSIC_Code</t>
        </is>
      </c>
      <c r="K1" s="1" t="inlineStr">
        <is>
          <t>VSIC_Description</t>
        </is>
      </c>
      <c r="L1" s="1" t="inlineStr">
        <is>
          <t>NACE_Code</t>
        </is>
      </c>
      <c r="M1" s="1" t="inlineStr">
        <is>
          <t>BusinessActivity</t>
        </is>
      </c>
      <c r="N1" s="1" t="inlineStr">
        <is>
          <t>WasteProfile</t>
        </is>
      </c>
      <c r="O1" s="1" t="inlineStr">
        <is>
          <t>Address</t>
        </is>
      </c>
      <c r="P1" s="1" t="inlineStr">
        <is>
          <t>PostalCode</t>
        </is>
      </c>
      <c r="Q1" s="1" t="inlineStr">
        <is>
          <t>InVSIP1_PDF</t>
        </is>
      </c>
      <c r="R1" s="1" t="inlineStr">
        <is>
          <t>InFinneiss_DB</t>
        </is>
      </c>
      <c r="S1" s="1" t="inlineStr">
        <is>
          <t>Source</t>
        </is>
      </c>
      <c r="T1" s="1" t="inlineStr">
        <is>
          <t>CostPerTonne</t>
        </is>
      </c>
      <c r="U1" s="1" t="n"/>
    </row>
    <row r="2" ht="50" customHeight="1" s="67">
      <c r="A2" s="2" t="n">
        <v>37</v>
      </c>
      <c r="B2" s="2" t="inlineStr">
        <is>
          <t>CÔNG TY TNHH KINGMAKER FOOTWEAR</t>
        </is>
      </c>
      <c r="C2" s="2" t="inlineStr">
        <is>
          <t>Provider</t>
        </is>
      </c>
      <c r="D2" s="2" t="inlineStr">
        <is>
          <t>PLASTIC_SCRAP</t>
        </is>
      </c>
      <c r="E2" s="41" t="n">
        <v>10.931687</v>
      </c>
      <c r="F2" s="41" t="n">
        <v>106.715063</v>
      </c>
      <c r="G2" s="41" t="n">
        <v>3.3</v>
      </c>
      <c r="H2" s="41" t="n">
        <v>0.2</v>
      </c>
      <c r="I2" s="59" t="n">
        <v>5</v>
      </c>
      <c r="J2" s="2" t="n">
        <v>15200</v>
      </c>
      <c r="K2" s="2" t="inlineStr">
        <is>
          <t>Manufacture of footwear</t>
        </is>
      </c>
      <c r="L2" s="2" t="n">
        <v>1520</v>
      </c>
      <c r="M2" s="2" t="inlineStr">
        <is>
          <t>Manufactures and exports footwear products, including sports and casual shoes.</t>
        </is>
      </c>
      <c r="N2" s="2" t="inlineStr">
        <is>
          <t>- Leather and synthetic material scraps
- Adhesive and solvent waste
- Packaging waste
- Wastewater from cleaning processes</t>
        </is>
      </c>
      <c r="O2" s="2" t="inlineStr">
        <is>
          <t>12 ĐƯỜNG 3</t>
        </is>
      </c>
      <c r="P2" s="2" t="n">
        <v>75214</v>
      </c>
      <c r="Q2" s="2" t="inlineStr">
        <is>
          <t>Yes</t>
        </is>
      </c>
      <c r="R2" s="2" t="inlineStr">
        <is>
          <t>Yes</t>
        </is>
      </c>
      <c r="S2" s="2" t="inlineStr">
        <is>
          <t>Finneiss DB (exact); VSIP1 Company Directory PDF</t>
        </is>
      </c>
      <c r="T2" s="4" t="n"/>
      <c r="U2" s="4" t="n"/>
    </row>
    <row r="3" ht="50" customHeight="1" s="67">
      <c r="A3" s="5" t="n">
        <v>23</v>
      </c>
      <c r="B3" s="5" t="inlineStr">
        <is>
          <t>CÔNG TY TNHH TOMBOW VINA</t>
        </is>
      </c>
      <c r="C3" s="5" t="inlineStr">
        <is>
          <t>Provider</t>
        </is>
      </c>
      <c r="D3" s="5" t="inlineStr">
        <is>
          <t>PLASTIC_SCRAP</t>
        </is>
      </c>
      <c r="E3" s="42" t="n">
        <v>10.927688</v>
      </c>
      <c r="F3" s="42" t="n">
        <v>106.723687</v>
      </c>
      <c r="G3" s="42" t="n">
        <v>7</v>
      </c>
      <c r="H3" s="42" t="n">
        <v>0.2</v>
      </c>
      <c r="I3" s="59" t="n">
        <v>5</v>
      </c>
      <c r="J3" s="5" t="n">
        <v>32900</v>
      </c>
      <c r="K3" s="5" t="inlineStr">
        <is>
          <t>Other manufacturing n.e.c.</t>
        </is>
      </c>
      <c r="L3" s="5" t="n">
        <v>3299</v>
      </c>
      <c r="M3" s="5" t="inlineStr">
        <is>
          <t>Produces writing instruments such as pens and pencils.</t>
        </is>
      </c>
      <c r="N3" s="5" t="inlineStr">
        <is>
          <t>- Plastic and metal scraps
- Ink and solvent waste
- Packaging waste (e.g., paper boxes, plastic wraps)
- Wastewater from cleaning processes</t>
        </is>
      </c>
      <c r="O3" s="5" t="inlineStr">
        <is>
          <t>21 Đại lộ Độc lập</t>
        </is>
      </c>
      <c r="P3" s="5" t="n">
        <v>75214</v>
      </c>
      <c r="Q3" s="5" t="inlineStr">
        <is>
          <t>Yes</t>
        </is>
      </c>
      <c r="R3" s="5" t="inlineStr">
        <is>
          <t>Yes</t>
        </is>
      </c>
      <c r="S3" s="5" t="inlineStr">
        <is>
          <t>Finneiss DB (exact); VSIP1 Company Directory PDF</t>
        </is>
      </c>
      <c r="T3" s="7" t="n"/>
      <c r="U3" s="7" t="n"/>
    </row>
    <row r="4" ht="18" customHeight="1" s="67">
      <c r="A4" s="2" t="n">
        <v>64</v>
      </c>
      <c r="B4" s="2" t="inlineStr">
        <is>
          <t>CÔNG TY TNHH HTE VN</t>
        </is>
      </c>
      <c r="C4" s="2" t="inlineStr">
        <is>
          <t>Provider</t>
        </is>
      </c>
      <c r="D4" s="2" t="inlineStr">
        <is>
          <t>PLASTIC_SCRAP</t>
        </is>
      </c>
      <c r="E4" s="41" t="n">
        <v>10.932313</v>
      </c>
      <c r="F4" s="41" t="n">
        <v>106.722188</v>
      </c>
      <c r="G4" s="41" t="n">
        <v>3.1</v>
      </c>
      <c r="H4" s="41" t="n">
        <v>0.2</v>
      </c>
      <c r="I4" s="59" t="n">
        <v>5</v>
      </c>
      <c r="J4" s="2" t="n">
        <v>43290</v>
      </c>
      <c r="K4" s="2" t="inlineStr">
        <is>
          <t>Other construction installation activities</t>
        </is>
      </c>
      <c r="L4" s="2" t="n">
        <v>4329</v>
      </c>
      <c r="M4" s="2" t="inlineStr">
        <is>
          <t>Specializes in signage and landscape services.</t>
        </is>
      </c>
      <c r="N4" s="2" t="inlineStr">
        <is>
          <t>- Signage production waste
- Paint and solvent waste
- Packaging waste
- Wastewater from cleaning processes</t>
        </is>
      </c>
      <c r="O4" s="2" t="inlineStr">
        <is>
          <t>42 ĐƯỜNG 4</t>
        </is>
      </c>
      <c r="P4" s="2" t="n">
        <v>75214</v>
      </c>
      <c r="Q4" s="2" t="inlineStr">
        <is>
          <t>Yes</t>
        </is>
      </c>
      <c r="R4" s="2" t="inlineStr">
        <is>
          <t>Yes</t>
        </is>
      </c>
      <c r="S4" s="2" t="inlineStr">
        <is>
          <t>Finneiss DB (exact); VSIP1 Company Directory PDF</t>
        </is>
      </c>
      <c r="T4" s="4" t="n"/>
      <c r="U4" s="4" t="n"/>
    </row>
    <row r="5" ht="18" customHeight="1" s="67">
      <c r="A5" s="5" t="n">
        <v>14</v>
      </c>
      <c r="B5" s="5" t="inlineStr">
        <is>
          <t>CÔNG TY TNHH SX SƠN PHOENIX (VN)</t>
        </is>
      </c>
      <c r="C5" s="5" t="inlineStr">
        <is>
          <t>Provider</t>
        </is>
      </c>
      <c r="D5" s="5" t="inlineStr">
        <is>
          <t>PLASTIC_SCRAP</t>
        </is>
      </c>
      <c r="E5" s="42" t="n">
        <v>10.930187</v>
      </c>
      <c r="F5" s="42" t="n">
        <v>106.724312</v>
      </c>
      <c r="G5" s="42" t="n">
        <v>3.2</v>
      </c>
      <c r="H5" s="42" t="n">
        <v>0.2</v>
      </c>
      <c r="I5" s="59" t="n">
        <v>5</v>
      </c>
      <c r="J5" s="5" t="n">
        <v>20220</v>
      </c>
      <c r="K5" s="5" t="inlineStr">
        <is>
          <t>Manufacture of paints, varnishes and similar coatings, printing ink and mastics</t>
        </is>
      </c>
      <c r="L5" s="5" t="n">
        <v>2030</v>
      </c>
      <c r="M5" s="5" t="inlineStr">
        <is>
          <t>Produces industrial and decorative paints and coatings.</t>
        </is>
      </c>
      <c r="N5" s="5" t="inlineStr">
        <is>
          <t>- Chemical waste (solvents, pigments)
- Sludge from wastewater treatment
- Packaging waste (e.g., paint cans, drums)
- Air emissions (e.g., VOCs)</t>
        </is>
      </c>
      <c r="O5" s="5" t="inlineStr">
        <is>
          <t>16 đường 8</t>
        </is>
      </c>
      <c r="P5" s="5" t="n">
        <v>75214</v>
      </c>
      <c r="Q5" s="5" t="inlineStr">
        <is>
          <t>Yes</t>
        </is>
      </c>
      <c r="R5" s="5" t="inlineStr">
        <is>
          <t>Yes</t>
        </is>
      </c>
      <c r="S5" s="5" t="inlineStr">
        <is>
          <t>Finneiss DB (exact); VSIP1 Company Directory PDF</t>
        </is>
      </c>
      <c r="T5" s="7" t="n"/>
      <c r="U5" s="7" t="n"/>
    </row>
    <row r="6" ht="18" customHeight="1" s="67">
      <c r="A6" s="2" t="n">
        <v>70</v>
      </c>
      <c r="B6" s="2" t="inlineStr">
        <is>
          <t>VINA SHOWA CO., LTD</t>
        </is>
      </c>
      <c r="C6" s="2" t="inlineStr">
        <is>
          <t>Provider</t>
        </is>
      </c>
      <c r="D6" s="2" t="inlineStr">
        <is>
          <t>PLASTIC_SCRAP</t>
        </is>
      </c>
      <c r="E6" s="41" t="n">
        <v>10.924563</v>
      </c>
      <c r="F6" s="41" t="n">
        <v>106.725813</v>
      </c>
      <c r="G6" s="41" t="n">
        <v>5.3</v>
      </c>
      <c r="H6" s="41" t="n">
        <v>0.2</v>
      </c>
      <c r="I6" s="59" t="n">
        <v>5</v>
      </c>
      <c r="J6" s="2" t="n">
        <v>22209</v>
      </c>
      <c r="K6" s="2" t="inlineStr">
        <is>
          <t>Manufacture of other plastic products n.e.c.</t>
        </is>
      </c>
      <c r="L6" s="2" t="n">
        <v>2229</v>
      </c>
      <c r="M6" s="2" t="inlineStr">
        <is>
          <t>Manufactures PVC compounds and plastic components for medical, automotive, electrical, and construction applications.</t>
        </is>
      </c>
      <c r="N6" s="2" t="inlineStr">
        <is>
          <t>- Plastic scrap and offcuts
- Chemical waste from PVC processing
- Packaging waste
- Wastewater from cleaning processes</t>
        </is>
      </c>
      <c r="O6" s="2" t="inlineStr">
        <is>
          <t>23 Đại lộ Hữu Nghị</t>
        </is>
      </c>
      <c r="P6" s="2" t="n">
        <v>75214</v>
      </c>
      <c r="Q6" s="2" t="inlineStr">
        <is>
          <t>Yes</t>
        </is>
      </c>
      <c r="R6" s="2" t="inlineStr">
        <is>
          <t>Yes</t>
        </is>
      </c>
      <c r="S6" s="2" t="inlineStr">
        <is>
          <t>Finneiss DB (exact); VSIP1 Company Directory PDF</t>
        </is>
      </c>
      <c r="T6" s="4" t="n"/>
      <c r="U6" s="4" t="n"/>
    </row>
    <row r="7" ht="18" customHeight="1" s="67">
      <c r="A7" s="5" t="n">
        <v>43</v>
      </c>
      <c r="B7" s="5" t="inlineStr">
        <is>
          <t>CÔNG TY TNHH SCIENTEX TSUKASA</t>
        </is>
      </c>
      <c r="C7" s="5" t="inlineStr">
        <is>
          <t>Provider</t>
        </is>
      </c>
      <c r="D7" s="5" t="inlineStr">
        <is>
          <t>PLASTIC_SCRAP</t>
        </is>
      </c>
      <c r="E7" s="42" t="n">
        <v>10.924812</v>
      </c>
      <c r="F7" s="42" t="n">
        <v>106.728938</v>
      </c>
      <c r="G7" s="42" t="n">
        <v>2</v>
      </c>
      <c r="H7" s="42" t="n">
        <v>0.2</v>
      </c>
      <c r="I7" s="59" t="n">
        <v>5</v>
      </c>
      <c r="J7" s="5" t="n">
        <v>22209</v>
      </c>
      <c r="K7" s="5" t="inlineStr">
        <is>
          <t>Manufacture of other plastic products n.e.c.</t>
        </is>
      </c>
      <c r="L7" s="5" t="n">
        <v>2229</v>
      </c>
      <c r="M7" s="5" t="inlineStr">
        <is>
          <t>Produces woven polypropylene bags and packaging materials.</t>
        </is>
      </c>
      <c r="N7" s="5" t="inlineStr">
        <is>
          <t>- Plastic scrap and offcuts
- Chemical waste from printing processes
- Packaging waste
- Wastewater from cleaning processes</t>
        </is>
      </c>
      <c r="O7" s="5" t="inlineStr">
        <is>
          <t>33 Đại lộ Hữu Nghị</t>
        </is>
      </c>
      <c r="P7" s="5" t="n">
        <v>75209</v>
      </c>
      <c r="Q7" s="5" t="inlineStr">
        <is>
          <t>Yes</t>
        </is>
      </c>
      <c r="R7" s="5" t="inlineStr">
        <is>
          <t>Yes</t>
        </is>
      </c>
      <c r="S7" s="5" t="inlineStr">
        <is>
          <t>Finneiss DB (exact); VSIP1 Company Directory PDF</t>
        </is>
      </c>
      <c r="T7" s="7" t="n"/>
      <c r="U7" s="7" t="n"/>
    </row>
    <row r="8" ht="18" customHeight="1" s="67">
      <c r="A8" s="2" t="n">
        <v>7</v>
      </c>
      <c r="B8" s="2" t="inlineStr">
        <is>
          <t>DAILY MANY INT’L VIETNAM CO. LTD</t>
        </is>
      </c>
      <c r="C8" s="2" t="inlineStr">
        <is>
          <t>Provider</t>
        </is>
      </c>
      <c r="D8" s="2" t="inlineStr">
        <is>
          <t>PLASTIC_SCRAP</t>
        </is>
      </c>
      <c r="E8" s="41" t="n">
        <v>10.933113</v>
      </c>
      <c r="F8" s="41" t="n">
        <v>106.708203</v>
      </c>
      <c r="G8" s="41" t="n">
        <v>5.1</v>
      </c>
      <c r="H8" s="41" t="n">
        <v>0.2</v>
      </c>
      <c r="I8" s="59" t="n">
        <v>5</v>
      </c>
      <c r="J8" s="2" t="n">
        <v>22209</v>
      </c>
      <c r="K8" s="2" t="inlineStr">
        <is>
          <t>Manufacture of other plastic products n.e.c.</t>
        </is>
      </c>
      <c r="L8" s="2" t="n">
        <v>2229</v>
      </c>
      <c r="M8" s="2" t="inlineStr">
        <is>
          <t>Manufactures plastic products and electronic components.</t>
        </is>
      </c>
      <c r="N8" s="2" t="inlineStr">
        <is>
          <t>- Plastic scrap and offcuts
- Chemical waste from plastic processing
- Packaging waste (e.g., plastic films, boxes)
- Wastewater from cleaning processes</t>
        </is>
      </c>
      <c r="O8" s="2" t="inlineStr">
        <is>
          <t>8B đường 2A</t>
        </is>
      </c>
      <c r="P8" s="2" t="n">
        <v>75214</v>
      </c>
      <c r="Q8" s="2" t="inlineStr">
        <is>
          <t>Yes</t>
        </is>
      </c>
      <c r="R8" s="2" t="inlineStr">
        <is>
          <t>Yes</t>
        </is>
      </c>
      <c r="S8" s="2" t="inlineStr">
        <is>
          <t>Finneiss DB (exact); VSIP1 Company Directory PDF</t>
        </is>
      </c>
      <c r="T8" s="4" t="n"/>
      <c r="U8" s="4" t="n"/>
    </row>
    <row r="9" ht="18" customHeight="1" s="67">
      <c r="A9" s="5" t="n">
        <v>25</v>
      </c>
      <c r="B9" s="5" t="inlineStr">
        <is>
          <t>CÔNG TY TNHH SG TECHNOLOGY GLASS</t>
        </is>
      </c>
      <c r="C9" s="5" t="inlineStr">
        <is>
          <t>Provider</t>
        </is>
      </c>
      <c r="D9" s="5" t="inlineStr">
        <is>
          <t>PLASTIC_SCRAP</t>
        </is>
      </c>
      <c r="E9" s="42" t="n">
        <v>10.870812</v>
      </c>
      <c r="F9" s="42" t="n">
        <v>106.586687</v>
      </c>
      <c r="G9" s="42" t="n">
        <v>2.6</v>
      </c>
      <c r="H9" s="42" t="n">
        <v>0.2</v>
      </c>
      <c r="I9" s="59" t="n">
        <v>5</v>
      </c>
      <c r="J9" s="5" t="n">
        <v>23100</v>
      </c>
      <c r="K9" s="5" t="inlineStr">
        <is>
          <t>Manufacture of glass and glass products</t>
        </is>
      </c>
      <c r="L9" s="5" t="n">
        <v>2319</v>
      </c>
      <c r="M9" s="5" t="inlineStr">
        <is>
          <t>Produces glass products for industrial and construction applications.</t>
        </is>
      </c>
      <c r="N9" s="5" t="inlineStr">
        <is>
          <t>- Glass offcuts and defective products
- Chemical waste from glass processing
- Packaging waste (e.g., wooden crates, plastic films)
- Wastewater from cleaning processes</t>
        </is>
      </c>
      <c r="O9" s="5" t="inlineStr">
        <is>
          <t>11 đường 10</t>
        </is>
      </c>
      <c r="P9" s="5" t="n">
        <v>71717</v>
      </c>
      <c r="Q9" s="5" t="inlineStr">
        <is>
          <t>Yes</t>
        </is>
      </c>
      <c r="R9" s="5" t="inlineStr">
        <is>
          <t>Yes</t>
        </is>
      </c>
      <c r="S9" s="5" t="inlineStr">
        <is>
          <t>Finneiss DB (exact); VSIP1 Company Directory PDF</t>
        </is>
      </c>
      <c r="T9" s="7" t="n"/>
      <c r="U9" s="7" t="n"/>
    </row>
    <row r="10" ht="18" customHeight="1" s="67">
      <c r="A10" s="2" t="n">
        <v>16</v>
      </c>
      <c r="B10" s="2" t="inlineStr">
        <is>
          <t>CÔNG TY TNHH SƠN SEAMASTER (VN)</t>
        </is>
      </c>
      <c r="C10" s="2" t="inlineStr">
        <is>
          <t>Provider</t>
        </is>
      </c>
      <c r="D10" s="2" t="inlineStr">
        <is>
          <t>PLASTIC_SCRAP</t>
        </is>
      </c>
      <c r="E10" s="41" t="n">
        <v>10.935313</v>
      </c>
      <c r="F10" s="41" t="n">
        <v>106.717062</v>
      </c>
      <c r="G10" s="41" t="n">
        <v>0.5</v>
      </c>
      <c r="H10" s="41" t="n">
        <v>0.2</v>
      </c>
      <c r="I10" s="59" t="n">
        <v>5</v>
      </c>
      <c r="J10" s="2" t="n">
        <v>20220</v>
      </c>
      <c r="K10" s="2" t="inlineStr">
        <is>
          <t>Manufacture of paints, varnishes and similar coatings, printing ink and mastics</t>
        </is>
      </c>
      <c r="L10" s="2" t="n">
        <v>2030</v>
      </c>
      <c r="M10" s="2" t="inlineStr">
        <is>
          <t>Produces a wide range of industrial and decorative paints.</t>
        </is>
      </c>
      <c r="N10" s="2" t="inlineStr">
        <is>
          <t>- Solvent and pigment waste
- Sludge from wastewater treatment
- Packaging waste (paint cans, barrels)
- VOC emissions</t>
        </is>
      </c>
      <c r="O10" s="2" t="inlineStr">
        <is>
          <t>16 Đại lộ tự do</t>
        </is>
      </c>
      <c r="P10" s="2" t="n">
        <v>75209</v>
      </c>
      <c r="Q10" s="2" t="inlineStr">
        <is>
          <t>Yes</t>
        </is>
      </c>
      <c r="R10" s="2" t="inlineStr">
        <is>
          <t>Yes</t>
        </is>
      </c>
      <c r="S10" s="2" t="inlineStr">
        <is>
          <t>Finneiss DB (exact); VSIP1 Company Directory PDF</t>
        </is>
      </c>
      <c r="T10" s="4" t="n"/>
      <c r="U10" s="4" t="n"/>
    </row>
    <row r="11" ht="18" customHeight="1" s="67">
      <c r="A11" s="5" t="n">
        <v>54</v>
      </c>
      <c r="B11" s="5" t="inlineStr">
        <is>
          <t>CÔNG TY TNHH PHIL INTER PHARMA</t>
        </is>
      </c>
      <c r="C11" s="5" t="inlineStr">
        <is>
          <t>Provider</t>
        </is>
      </c>
      <c r="D11" s="5" t="inlineStr">
        <is>
          <t>PLASTIC_SCRAP</t>
        </is>
      </c>
      <c r="E11" s="42" t="n">
        <v>10.924812</v>
      </c>
      <c r="F11" s="42" t="n">
        <v>106.719813</v>
      </c>
      <c r="G11" s="42" t="n">
        <v>4.3</v>
      </c>
      <c r="H11" s="42" t="n">
        <v>0.2</v>
      </c>
      <c r="I11" s="59" t="n">
        <v>5</v>
      </c>
      <c r="J11" s="5" t="n">
        <v>21001</v>
      </c>
      <c r="K11" s="5" t="inlineStr">
        <is>
          <t>Manufacture of pharmaceutical preparations</t>
        </is>
      </c>
      <c r="L11" s="5" t="n">
        <v>2120</v>
      </c>
      <c r="M11" s="5" t="inlineStr">
        <is>
          <t>Manufactures pharmaceutical products, including tablets, capsules, and syrups.</t>
        </is>
      </c>
      <c r="N11" s="5" t="inlineStr">
        <is>
          <t>- Chemical waste
- Expired pharmaceutical products
- Packaging waste
- Wastewater containing active pharmaceutical ingredients</t>
        </is>
      </c>
      <c r="O11" s="5" t="inlineStr">
        <is>
          <t>25 ĐƯỜNG 8</t>
        </is>
      </c>
      <c r="P11" s="5" t="n">
        <v>75214</v>
      </c>
      <c r="Q11" s="5" t="inlineStr">
        <is>
          <t>No</t>
        </is>
      </c>
      <c r="R11" s="5" t="inlineStr">
        <is>
          <t>Yes</t>
        </is>
      </c>
      <c r="S11" s="5" t="inlineStr">
        <is>
          <t>Finneiss DB (exact)</t>
        </is>
      </c>
      <c r="T11" s="7" t="n"/>
      <c r="U11" s="7" t="n"/>
    </row>
    <row r="12" ht="50" customHeight="1" s="67">
      <c r="A12" s="5" t="n">
        <v>4</v>
      </c>
      <c r="B12" s="5" t="inlineStr">
        <is>
          <t>CÔNG TY CP CÔNG NGHỆ SINH HỌC DƯỢC PHẨM ICA</t>
        </is>
      </c>
      <c r="C12" s="5" t="inlineStr">
        <is>
          <t>Provider</t>
        </is>
      </c>
      <c r="D12" s="5" t="inlineStr">
        <is>
          <t>PLASTIC_SCRAP</t>
        </is>
      </c>
      <c r="E12" s="42" t="n">
        <v>10.932937</v>
      </c>
      <c r="F12" s="42" t="n">
        <v>106.718688</v>
      </c>
      <c r="G12" s="42" t="n">
        <v>6.15</v>
      </c>
      <c r="H12" s="42" t="n">
        <v>0.2</v>
      </c>
      <c r="I12" s="59" t="n">
        <v>5</v>
      </c>
      <c r="J12" s="5" t="n">
        <v>21001</v>
      </c>
      <c r="K12" s="5" t="inlineStr">
        <is>
          <t>Manufacture of pharmaceutical preparations</t>
        </is>
      </c>
      <c r="L12" s="5" t="n">
        <v>2120</v>
      </c>
      <c r="M12" s="5" t="inlineStr">
        <is>
          <t>Develops and manufactures pharmaceutical and biotechnology products.</t>
        </is>
      </c>
      <c r="N12" s="5" t="inlineStr">
        <is>
          <t>- Chemical waste from pharmaceutical production
- Expired or unused pharmaceutical products
- Packaging waste (e.g., blister packs, bottles)
- Wastewater containing active pharmaceutical ingredients</t>
        </is>
      </c>
      <c r="O12" s="5" t="inlineStr">
        <is>
          <t>Lô 10 đường 5</t>
        </is>
      </c>
      <c r="P12" s="5" t="n">
        <v>75214</v>
      </c>
      <c r="Q12" s="5" t="inlineStr">
        <is>
          <t>Yes</t>
        </is>
      </c>
      <c r="R12" s="5" t="inlineStr">
        <is>
          <t>Yes</t>
        </is>
      </c>
      <c r="S12" s="5" t="inlineStr">
        <is>
          <t>Finneiss DB (exact); VSIP1 Company Directory PDF</t>
        </is>
      </c>
      <c r="T12" s="7" t="n"/>
      <c r="U12" s="7" t="n"/>
    </row>
    <row r="13" ht="18" customHeight="1" s="67">
      <c r="A13" s="5" t="n">
        <v>68</v>
      </c>
      <c r="B13" s="5" t="inlineStr">
        <is>
          <t>CÔNG TY TNHH SHOWA GLOVES VN</t>
        </is>
      </c>
      <c r="C13" s="5" t="inlineStr">
        <is>
          <t>Provider</t>
        </is>
      </c>
      <c r="D13" s="5" t="inlineStr">
        <is>
          <t>PLASTIC_SCRAP</t>
        </is>
      </c>
      <c r="E13" s="42" t="n">
        <v>10.933813</v>
      </c>
      <c r="F13" s="42" t="n">
        <v>106.725687</v>
      </c>
      <c r="G13" s="42" t="n">
        <v>1.2</v>
      </c>
      <c r="H13" s="42" t="n">
        <v>0.2</v>
      </c>
      <c r="I13" s="59" t="n">
        <v>5</v>
      </c>
      <c r="J13" s="5" t="n">
        <v>22120</v>
      </c>
      <c r="K13" s="5" t="inlineStr">
        <is>
          <t>Manufacture of rubber products</t>
        </is>
      </c>
      <c r="L13" s="5" t="n">
        <v>2219</v>
      </c>
      <c r="M13" s="5" t="inlineStr">
        <is>
          <t>Manufactures industrial and medical protective gloves.</t>
        </is>
      </c>
      <c r="N13" s="5" t="inlineStr">
        <is>
          <t>- Rubber waste (defective gloves, trimmings)
- Chemical waste from glove production
- Packaging waste
- Wastewater from cleaning processes</t>
        </is>
      </c>
      <c r="O13" s="5" t="inlineStr">
        <is>
          <t>23 Đại lộ tự do</t>
        </is>
      </c>
      <c r="P13" s="5" t="n">
        <v>75256</v>
      </c>
      <c r="Q13" s="5" t="inlineStr">
        <is>
          <t>Yes</t>
        </is>
      </c>
      <c r="R13" s="5" t="inlineStr">
        <is>
          <t>Yes</t>
        </is>
      </c>
      <c r="S13" s="5" t="inlineStr">
        <is>
          <t>Finneiss DB (exact); VSIP1 Company Directory PDF</t>
        </is>
      </c>
      <c r="T13" s="7" t="n"/>
      <c r="U13" s="7" t="n"/>
    </row>
    <row r="14" ht="18" customHeight="1" s="67">
      <c r="A14" s="2" t="n">
        <v>41</v>
      </c>
      <c r="B14" s="2" t="inlineStr">
        <is>
          <t>CÔNG TY TNHH CLARIANT (VN)</t>
        </is>
      </c>
      <c r="C14" s="2" t="inlineStr">
        <is>
          <t>Provider</t>
        </is>
      </c>
      <c r="D14" s="2" t="inlineStr">
        <is>
          <t>PLASTIC_SCRAP</t>
        </is>
      </c>
      <c r="E14" s="41" t="n">
        <v>10.764188</v>
      </c>
      <c r="F14" s="41" t="n">
        <v>106.696812</v>
      </c>
      <c r="G14" s="41" t="n">
        <v>5</v>
      </c>
      <c r="H14" s="41" t="n">
        <v>0.2</v>
      </c>
      <c r="I14" s="59" t="n">
        <v>5</v>
      </c>
      <c r="J14" s="2" t="n">
        <v>20290</v>
      </c>
      <c r="K14" s="2" t="inlineStr">
        <is>
          <t>Manufacture of other chemical products n.e.c.</t>
        </is>
      </c>
      <c r="L14" s="2" t="n">
        <v>2059</v>
      </c>
      <c r="M14" s="2" t="inlineStr">
        <is>
          <t>Produces specialty chemicals for various industries.</t>
        </is>
      </c>
      <c r="N14" s="2" t="inlineStr">
        <is>
          <t>- Chemical waste
- Packaging waste
- Wastewater with chemical residues
- Air emissions (e.g., VOCs)</t>
        </is>
      </c>
      <c r="O14" s="2" t="inlineStr">
        <is>
          <t>LÔ 3 ĐƯỜNG 2</t>
        </is>
      </c>
      <c r="P14" s="2" t="n">
        <v>71010</v>
      </c>
      <c r="Q14" s="2" t="inlineStr">
        <is>
          <t>Yes</t>
        </is>
      </c>
      <c r="R14" s="2" t="inlineStr">
        <is>
          <t>Yes</t>
        </is>
      </c>
      <c r="S14" s="2" t="inlineStr">
        <is>
          <t>Finneiss DB (exact); VSIP1 Company Directory PDF</t>
        </is>
      </c>
      <c r="T14" s="4" t="n"/>
      <c r="U14" s="4" t="n"/>
    </row>
    <row r="15" ht="18" customHeight="1" s="67">
      <c r="A15" s="5" t="n">
        <v>45</v>
      </c>
      <c r="B15" s="5" t="inlineStr">
        <is>
          <t>CÔNG TY TNHH NATIONAL STARCH VÀ CHEMICAL VN</t>
        </is>
      </c>
      <c r="C15" s="5" t="inlineStr">
        <is>
          <t>Provider</t>
        </is>
      </c>
      <c r="D15" s="5" t="inlineStr">
        <is>
          <t>PLASTIC_SCRAP</t>
        </is>
      </c>
      <c r="E15" s="40" t="n">
        <v>10.9315</v>
      </c>
      <c r="F15" s="40" t="n">
        <v>106.7185</v>
      </c>
      <c r="G15" s="40" t="n">
        <v>1.4</v>
      </c>
      <c r="H15" s="40" t="n">
        <v>0.2</v>
      </c>
      <c r="I15" s="59" t="n">
        <v>5</v>
      </c>
      <c r="J15" s="5" t="n">
        <v>20290</v>
      </c>
      <c r="K15" s="5" t="inlineStr">
        <is>
          <t>Manufacture of other chemical products n.e.c.</t>
        </is>
      </c>
      <c r="L15" s="5" t="n">
        <v>2059</v>
      </c>
      <c r="M15" s="5" t="inlineStr">
        <is>
          <t>Produces specialty starches and chemical additives for various industries.</t>
        </is>
      </c>
      <c r="N15" s="5" t="inlineStr">
        <is>
          <t>- Chemical waste from production processes
- Packaging waste
- Wastewater containing chemical residues
- Air emissions (e.g., VOCs)</t>
        </is>
      </c>
      <c r="O15" s="5" t="inlineStr">
        <is>
          <t>23-25 ĐƯỜNG 2</t>
        </is>
      </c>
      <c r="P15" s="5" t="inlineStr">
        <is>
          <t>N/A</t>
        </is>
      </c>
      <c r="Q15" s="5" t="inlineStr">
        <is>
          <t>Yes</t>
        </is>
      </c>
      <c r="R15" s="5" t="inlineStr">
        <is>
          <t>Yes</t>
        </is>
      </c>
      <c r="S15" s="5" t="inlineStr">
        <is>
          <t>Finneiss DB (exact); VSIP1 Company Directory PDF</t>
        </is>
      </c>
      <c r="T15" s="7" t="n"/>
      <c r="U15" s="7" t="n"/>
    </row>
    <row r="16" ht="18" customHeight="1" s="67">
      <c r="A16" s="5" t="n">
        <v>18</v>
      </c>
      <c r="B16" s="5" t="inlineStr">
        <is>
          <t>CÔNG TY TNHH SV PROBE VIỆT NAM</t>
        </is>
      </c>
      <c r="C16" s="5" t="inlineStr">
        <is>
          <t>Provider</t>
        </is>
      </c>
      <c r="D16" s="5" t="inlineStr">
        <is>
          <t>PLASTIC_SCRAP</t>
        </is>
      </c>
      <c r="E16" s="42" t="n">
        <v>10.936937</v>
      </c>
      <c r="F16" s="42" t="n">
        <v>106.731687</v>
      </c>
      <c r="G16" s="42" t="n">
        <v>1.1</v>
      </c>
      <c r="H16" s="42" t="n">
        <v>0.2</v>
      </c>
      <c r="I16" s="59" t="n">
        <v>5</v>
      </c>
      <c r="J16" s="5" t="n">
        <v>26510</v>
      </c>
      <c r="K16" s="5" t="inlineStr">
        <is>
          <t>Manufacture of measuring, testing, navigating and control equipment</t>
        </is>
      </c>
      <c r="L16" s="5" t="n">
        <v>2651</v>
      </c>
      <c r="M16" s="5" t="inlineStr">
        <is>
          <t>Designs and manufactures probe cards and test interfaces for the semiconductor industry.</t>
        </is>
      </c>
      <c r="N16" s="5" t="inlineStr">
        <is>
          <t>- Electronic waste (defective components, circuit boards)
- Chemical waste from manufacturing processes
- Packaging waste (e.g., antistatic bags, boxes)
- Wastewater from cleaning processes</t>
        </is>
      </c>
      <c r="O16" s="5" t="inlineStr">
        <is>
          <t>37A đường 6</t>
        </is>
      </c>
      <c r="P16" s="5" t="n">
        <v>75209</v>
      </c>
      <c r="Q16" s="5" t="inlineStr">
        <is>
          <t>Yes</t>
        </is>
      </c>
      <c r="R16" s="5" t="inlineStr">
        <is>
          <t>Yes</t>
        </is>
      </c>
      <c r="S16" s="5" t="inlineStr">
        <is>
          <t>Finneiss DB (exact); VSIP1 Company Directory PDF</t>
        </is>
      </c>
      <c r="T16" s="7" t="n"/>
      <c r="U16" s="7" t="n"/>
    </row>
    <row r="17" ht="18" customHeight="1" s="67">
      <c r="A17" s="2" t="n">
        <v>55</v>
      </c>
      <c r="B17" s="2" t="inlineStr">
        <is>
          <t>CÔNG TY TNHH BIC JAPAN</t>
        </is>
      </c>
      <c r="C17" s="2" t="inlineStr">
        <is>
          <t>Provider</t>
        </is>
      </c>
      <c r="D17" s="2" t="inlineStr">
        <is>
          <t>PLASTIC_SCRAP</t>
        </is>
      </c>
      <c r="E17" s="41" t="n">
        <v>10.935313</v>
      </c>
      <c r="F17" s="41" t="n">
        <v>106.727063</v>
      </c>
      <c r="G17" s="41" t="n">
        <v>6.9</v>
      </c>
      <c r="H17" s="41" t="n">
        <v>0.2</v>
      </c>
      <c r="I17" s="59" t="n">
        <v>5</v>
      </c>
      <c r="J17" s="2" t="n">
        <v>46599</v>
      </c>
      <c r="K17" s="2" t="inlineStr">
        <is>
          <t>Wholesale of other machinery and equipment n.e.c.</t>
        </is>
      </c>
      <c r="L17" s="2" t="n">
        <v>4669</v>
      </c>
      <c r="M17" s="2" t="inlineStr">
        <is>
          <t>Imports and distributes industrial equipment and components.</t>
        </is>
      </c>
      <c r="N17" s="2" t="inlineStr">
        <is>
          <t>- Packaging waste
- Electronic waste
- General office waste</t>
        </is>
      </c>
      <c r="O17" s="2" t="inlineStr">
        <is>
          <t>30A Đại lộ tự do</t>
        </is>
      </c>
      <c r="P17" s="2" t="n">
        <v>75209</v>
      </c>
      <c r="Q17" s="2" t="inlineStr">
        <is>
          <t>No</t>
        </is>
      </c>
      <c r="R17" s="2" t="inlineStr">
        <is>
          <t>Yes</t>
        </is>
      </c>
      <c r="S17" s="2" t="inlineStr">
        <is>
          <t>Finneiss DB (exact)</t>
        </is>
      </c>
      <c r="T17" s="4" t="n"/>
      <c r="U17" s="4" t="n"/>
    </row>
    <row r="18" ht="18" customHeight="1" s="67">
      <c r="A18" s="5" t="n">
        <v>34</v>
      </c>
      <c r="B18" s="5" t="inlineStr">
        <is>
          <t>CÔNG TY TNHH VISION INT’L</t>
        </is>
      </c>
      <c r="C18" s="5" t="inlineStr">
        <is>
          <t>Provider</t>
        </is>
      </c>
      <c r="D18" s="5" t="inlineStr">
        <is>
          <t>PLASTIC_SCRAP</t>
        </is>
      </c>
      <c r="E18" s="42" t="n">
        <v>10.924563</v>
      </c>
      <c r="F18" s="42" t="n">
        <v>106.723562</v>
      </c>
      <c r="G18" s="42" t="n">
        <v>0.4</v>
      </c>
      <c r="H18" s="42" t="n">
        <v>0.2</v>
      </c>
      <c r="I18" s="59" t="n">
        <v>5</v>
      </c>
      <c r="J18" s="5" t="n">
        <v>32501</v>
      </c>
      <c r="K18" s="5" t="inlineStr">
        <is>
          <t>Manufacture of optical instruments and photographic equipment</t>
        </is>
      </c>
      <c r="L18" s="5" t="n">
        <v>2670</v>
      </c>
      <c r="M18" s="5" t="inlineStr">
        <is>
          <t>Produces optical lenses and related products.</t>
        </is>
      </c>
      <c r="N18" s="5" t="inlineStr">
        <is>
          <t>- Glass and plastic waste
- Chemical waste from coating
- Packaging waste
- Wastewater from cleaning processes</t>
        </is>
      </c>
      <c r="O18" s="5" t="inlineStr">
        <is>
          <t>9 Đại lộ Hữu Nghị</t>
        </is>
      </c>
      <c r="P18" s="5" t="n">
        <v>75214</v>
      </c>
      <c r="Q18" s="5" t="inlineStr">
        <is>
          <t>Yes</t>
        </is>
      </c>
      <c r="R18" s="5" t="inlineStr">
        <is>
          <t>Yes</t>
        </is>
      </c>
      <c r="S18" s="5" t="inlineStr">
        <is>
          <t>Finneiss DB (exact); VSIP1 Company Directory PDF</t>
        </is>
      </c>
      <c r="T18" s="7" t="n"/>
      <c r="U18" s="7" t="n"/>
    </row>
    <row r="19" ht="18" customHeight="1" s="67">
      <c r="A19" s="2" t="n">
        <v>63</v>
      </c>
      <c r="B19" s="2" t="inlineStr">
        <is>
          <t>CÔNG TY TNHH AECO-PACK PLASTIC</t>
        </is>
      </c>
      <c r="C19" s="2" t="inlineStr">
        <is>
          <t>Provider</t>
        </is>
      </c>
      <c r="D19" s="2" t="inlineStr">
        <is>
          <t>PLASTIC_SCRAP</t>
        </is>
      </c>
      <c r="E19" s="41" t="n">
        <v>10.932562</v>
      </c>
      <c r="F19" s="41" t="n">
        <v>106.730187</v>
      </c>
      <c r="G19" s="41" t="n">
        <v>7.8</v>
      </c>
      <c r="H19" s="41" t="n">
        <v>0.2</v>
      </c>
      <c r="I19" s="59" t="n">
        <v>5</v>
      </c>
      <c r="J19" s="2" t="n">
        <v>22202</v>
      </c>
      <c r="K19" s="2" t="inlineStr">
        <is>
          <t>Manufacture of plastic packing goods</t>
        </is>
      </c>
      <c r="L19" s="2" t="n">
        <v>2222</v>
      </c>
      <c r="M19" s="2" t="inlineStr">
        <is>
          <t>Manufactures flexible plastic packaging for food and industrial products.</t>
        </is>
      </c>
      <c r="N19" s="2" t="inlineStr">
        <is>
          <t>- Plastic scraps
- Ink and solvent waste
- Packaging waste
- Wastewater from printing and cleaning</t>
        </is>
      </c>
      <c r="O19" s="2" t="inlineStr">
        <is>
          <t>8 ĐƯỜNG 10</t>
        </is>
      </c>
      <c r="P19" s="2" t="n">
        <v>75209</v>
      </c>
      <c r="Q19" s="2" t="inlineStr">
        <is>
          <t>No</t>
        </is>
      </c>
      <c r="R19" s="2" t="inlineStr">
        <is>
          <t>Yes</t>
        </is>
      </c>
      <c r="S19" s="2" t="inlineStr">
        <is>
          <t>Finneiss DB (exact)</t>
        </is>
      </c>
      <c r="T19" s="4" t="n"/>
      <c r="U19" s="4" t="n"/>
    </row>
    <row r="20" ht="18" customHeight="1" s="67">
      <c r="A20" s="5" t="n">
        <v>1</v>
      </c>
      <c r="B20" s="5" t="inlineStr">
        <is>
          <t>CÔNG TY TNHH VIỆT NAM PARKERIZING</t>
        </is>
      </c>
      <c r="C20" s="5" t="inlineStr">
        <is>
          <t>Provider</t>
        </is>
      </c>
      <c r="D20" s="5" t="inlineStr">
        <is>
          <t>PLASTIC_SCRAP</t>
        </is>
      </c>
      <c r="E20" s="42" t="n">
        <v>10.927563</v>
      </c>
      <c r="F20" s="42" t="n">
        <v>106.716813</v>
      </c>
      <c r="G20" s="42" t="n">
        <v>4.1</v>
      </c>
      <c r="H20" s="42" t="n">
        <v>0.2</v>
      </c>
      <c r="I20" s="59" t="n">
        <v>5</v>
      </c>
      <c r="J20" s="5" t="n">
        <v>20290</v>
      </c>
      <c r="K20" s="5" t="inlineStr">
        <is>
          <t>Manufacture of other chemical products n.e.c.</t>
        </is>
      </c>
      <c r="L20" s="5" t="n">
        <v>2059</v>
      </c>
      <c r="M20" s="5" t="inlineStr">
        <is>
          <t>Specializes in manufacturing chemical products for metal surface treatment and corrosion prevention; also offers design and technical consulting.</t>
        </is>
      </c>
      <c r="N20" s="5" t="inlineStr">
        <is>
          <t>- Chemical waste (acids, alkalis, surface treatment chemicals)
- Sludge from wastewater treatment
- Packaging waste (chemical containers)
- Air emissions (e.g., VOCs)</t>
        </is>
      </c>
      <c r="O20" s="5" t="inlineStr">
        <is>
          <t>12 Đại lộ Độc lập</t>
        </is>
      </c>
      <c r="P20" s="5" t="n">
        <v>75214</v>
      </c>
      <c r="Q20" s="5" t="inlineStr">
        <is>
          <t>Yes</t>
        </is>
      </c>
      <c r="R20" s="5" t="inlineStr">
        <is>
          <t>Yes</t>
        </is>
      </c>
      <c r="S20" s="5" t="inlineStr">
        <is>
          <t>Finneiss DB (exact); VSIP1 Company Directory PDF</t>
        </is>
      </c>
      <c r="T20" s="7" t="n"/>
      <c r="U20" s="7" t="n"/>
    </row>
    <row r="21" ht="18" customHeight="1" s="67">
      <c r="A21" s="2" t="n">
        <v>42</v>
      </c>
      <c r="B21" s="2" t="inlineStr">
        <is>
          <t>CÔNG TY CP DƯỢC PHẨM GLOMED</t>
        </is>
      </c>
      <c r="C21" s="2" t="inlineStr">
        <is>
          <t>Provider</t>
        </is>
      </c>
      <c r="D21" s="2" t="inlineStr">
        <is>
          <t>PLASTIC_SCRAP</t>
        </is>
      </c>
      <c r="E21" s="41" t="n">
        <v>10.934938</v>
      </c>
      <c r="F21" s="41" t="n">
        <v>106.734437</v>
      </c>
      <c r="G21" s="41" t="n">
        <v>6.6</v>
      </c>
      <c r="H21" s="41" t="n">
        <v>0.2</v>
      </c>
      <c r="I21" s="59" t="n">
        <v>5</v>
      </c>
      <c r="J21" s="2" t="n">
        <v>21001</v>
      </c>
      <c r="K21" s="2" t="inlineStr">
        <is>
          <t>Manufacture of pharmaceutical preparations</t>
        </is>
      </c>
      <c r="L21" s="2" t="n">
        <v>2120</v>
      </c>
      <c r="M21" s="2" t="inlineStr">
        <is>
          <t>Manufactures pharmaceutical products, including tablets, capsules, and syrups.</t>
        </is>
      </c>
      <c r="N21" s="2" t="inlineStr">
        <is>
          <t>- Chemical waste from pharmaceutical production
- Expired or unused pharmaceutical products
- Packaging waste
- Wastewater containing active pharmaceutical ingredients</t>
        </is>
      </c>
      <c r="O21" s="2" t="inlineStr">
        <is>
          <t>35 Đại lộ tự do</t>
        </is>
      </c>
      <c r="P21" s="2" t="n">
        <v>75209</v>
      </c>
      <c r="Q21" s="2" t="inlineStr">
        <is>
          <t>Yes</t>
        </is>
      </c>
      <c r="R21" s="2" t="inlineStr">
        <is>
          <t>Yes</t>
        </is>
      </c>
      <c r="S21" s="2" t="inlineStr">
        <is>
          <t>Finneiss DB (exact); VSIP1 Company Directory PDF</t>
        </is>
      </c>
      <c r="T21" s="4" t="n"/>
      <c r="U21" s="4" t="n"/>
    </row>
    <row r="22" ht="18" customHeight="1" s="67">
      <c r="A22" s="5" t="n">
        <v>51</v>
      </c>
      <c r="B22" s="5" t="inlineStr">
        <is>
          <t>CÔNG TY TNHH PHONAK OPERATION CENTRE VN</t>
        </is>
      </c>
      <c r="C22" s="5" t="inlineStr">
        <is>
          <t>Provider</t>
        </is>
      </c>
      <c r="D22" s="5" t="inlineStr">
        <is>
          <t>PLASTIC_SCRAP</t>
        </is>
      </c>
      <c r="E22" s="42" t="n">
        <v>10.928062</v>
      </c>
      <c r="F22" s="42" t="n">
        <v>106.729438</v>
      </c>
      <c r="G22" s="42" t="n">
        <v>0.2</v>
      </c>
      <c r="H22" s="42" t="n">
        <v>0.2</v>
      </c>
      <c r="I22" s="59" t="n">
        <v>5</v>
      </c>
      <c r="J22" s="5" t="n">
        <v>26600</v>
      </c>
      <c r="K22" s="5" t="inlineStr">
        <is>
          <t>Manufacture of irradiation, electromedical and electrotherapeutic equipment</t>
        </is>
      </c>
      <c r="L22" s="5" t="n">
        <v>2660</v>
      </c>
      <c r="M22" s="5" t="inlineStr">
        <is>
          <t>Manufactures hearing aids and related audio devices.</t>
        </is>
      </c>
      <c r="N22" s="5" t="inlineStr">
        <is>
          <t>- Electronic waste
- Chemical waste from cleaning processes
- Packaging waste
- Wastewater from cleaning processes</t>
        </is>
      </c>
      <c r="O22" s="5" t="inlineStr">
        <is>
          <t>41 ĐƯỜNG 8</t>
        </is>
      </c>
      <c r="P22" s="5" t="n">
        <v>75209</v>
      </c>
      <c r="Q22" s="5" t="inlineStr">
        <is>
          <t>No</t>
        </is>
      </c>
      <c r="R22" s="5" t="inlineStr">
        <is>
          <t>Yes</t>
        </is>
      </c>
      <c r="S22" s="5" t="inlineStr">
        <is>
          <t>Finneiss DB (exact)</t>
        </is>
      </c>
      <c r="T22" s="7" t="n"/>
      <c r="U22" s="7" t="n"/>
    </row>
    <row r="23" ht="18" customHeight="1" s="67">
      <c r="A23" s="2" t="n">
        <v>57</v>
      </c>
      <c r="B23" s="2" t="inlineStr">
        <is>
          <t>CÔNG TY TNHH BIO INT’L</t>
        </is>
      </c>
      <c r="C23" s="2" t="inlineStr">
        <is>
          <t>Provider</t>
        </is>
      </c>
      <c r="D23" s="2" t="inlineStr">
        <is>
          <t>PLASTIC_SCRAP</t>
        </is>
      </c>
      <c r="E23" s="41" t="n">
        <v>10.928187</v>
      </c>
      <c r="F23" s="41" t="n">
        <v>106.732687</v>
      </c>
      <c r="G23" s="41" t="n">
        <v>9</v>
      </c>
      <c r="H23" s="41" t="n">
        <v>0.2</v>
      </c>
      <c r="I23" s="59" t="n">
        <v>5</v>
      </c>
      <c r="J23" s="2" t="n">
        <v>21002</v>
      </c>
      <c r="K23" s="2" t="inlineStr">
        <is>
          <t>Manufacture of pharmaceutical preparations</t>
        </is>
      </c>
      <c r="L23" s="2" t="n">
        <v>2110</v>
      </c>
      <c r="M23" s="2" t="inlineStr">
        <is>
          <t>Produces dietary supplements and health food products.</t>
        </is>
      </c>
      <c r="N23" s="2" t="inlineStr">
        <is>
          <t>- Organic waste
- Packaging waste
- Wastewater from cleaning operations</t>
        </is>
      </c>
      <c r="O23" s="2" t="inlineStr">
        <is>
          <t>70 Đại lộ Độc lập</t>
        </is>
      </c>
      <c r="P23" s="2" t="n">
        <v>75209</v>
      </c>
      <c r="Q23" s="2" t="inlineStr">
        <is>
          <t>No</t>
        </is>
      </c>
      <c r="R23" s="2" t="inlineStr">
        <is>
          <t>Yes</t>
        </is>
      </c>
      <c r="S23" s="2" t="inlineStr">
        <is>
          <t>Finneiss DB (exact)</t>
        </is>
      </c>
      <c r="T23" s="4" t="n"/>
      <c r="U23" s="4" t="n"/>
    </row>
    <row r="24" ht="18" customHeight="1" s="67">
      <c r="A24" s="2" t="n">
        <v>32</v>
      </c>
      <c r="B24" s="2" t="inlineStr">
        <is>
          <t>CÔNG TY TNHH UNZA VN</t>
        </is>
      </c>
      <c r="C24" s="2" t="inlineStr">
        <is>
          <t>Provider</t>
        </is>
      </c>
      <c r="D24" s="2" t="inlineStr">
        <is>
          <t>PLASTIC_SCRAP</t>
        </is>
      </c>
      <c r="E24" s="41" t="n">
        <v>10.929688</v>
      </c>
      <c r="F24" s="41" t="n">
        <v>106.716313</v>
      </c>
      <c r="G24" s="41" t="n">
        <v>6</v>
      </c>
      <c r="H24" s="41" t="n">
        <v>0.2</v>
      </c>
      <c r="I24" s="59" t="n">
        <v>5</v>
      </c>
      <c r="J24" s="2" t="n">
        <v>20230</v>
      </c>
      <c r="K24" s="2" t="inlineStr">
        <is>
          <t>Manufacture of soap and detergents, cleaning and polishing preparations, perfumes and toilet preparations</t>
        </is>
      </c>
      <c r="L24" s="2" t="n">
        <v>2042</v>
      </c>
      <c r="M24" s="2" t="inlineStr">
        <is>
          <t>Manufactures and distributes personal care and household products.</t>
        </is>
      </c>
      <c r="N24" s="2" t="inlineStr">
        <is>
          <t>- Chemical waste
- Packaging waste
- Wastewater from cleaning operations
- General manufacturing waste</t>
        </is>
      </c>
      <c r="O24" s="2" t="inlineStr">
        <is>
          <t>7 Đường 4, Vsip 1 Bình Dương</t>
        </is>
      </c>
      <c r="P24" s="2" t="n">
        <v>75214</v>
      </c>
      <c r="Q24" s="2" t="inlineStr">
        <is>
          <t>Yes</t>
        </is>
      </c>
      <c r="R24" s="2" t="inlineStr">
        <is>
          <t>Yes</t>
        </is>
      </c>
      <c r="S24" s="2" t="inlineStr">
        <is>
          <t>Finneiss DB (exact); VSIP1 Company Directory PDF</t>
        </is>
      </c>
      <c r="T24" s="4" t="n"/>
      <c r="U24" s="4" t="n"/>
    </row>
    <row r="25" ht="18" customHeight="1" s="67">
      <c r="A25" s="5" t="n">
        <v>24</v>
      </c>
      <c r="B25" s="5" t="inlineStr">
        <is>
          <t>KOREA UNITED PHARM. INT’L INC.</t>
        </is>
      </c>
      <c r="C25" s="5" t="inlineStr">
        <is>
          <t>Provider</t>
        </is>
      </c>
      <c r="D25" s="5" t="inlineStr">
        <is>
          <t>PLASTIC_SCRAP</t>
        </is>
      </c>
      <c r="E25" s="42" t="n">
        <v>10.935063</v>
      </c>
      <c r="F25" s="42" t="n">
        <v>106.712688</v>
      </c>
      <c r="G25" s="42" t="n">
        <v>8.300000000000001</v>
      </c>
      <c r="H25" s="42" t="n">
        <v>0.2</v>
      </c>
      <c r="I25" s="59" t="n">
        <v>5</v>
      </c>
      <c r="J25" s="5" t="n">
        <v>21001</v>
      </c>
      <c r="K25" s="5" t="inlineStr">
        <is>
          <t>Manufacture of pharmaceutical preparations</t>
        </is>
      </c>
      <c r="L25" s="5" t="n">
        <v>2120</v>
      </c>
      <c r="M25" s="5" t="inlineStr">
        <is>
          <t>Manufactures pharmaceutical products, including dietary supplements and over-the-counter drugs.</t>
        </is>
      </c>
      <c r="N25" s="5" t="inlineStr">
        <is>
          <t>- Chemical waste from pharmaceutical production
- Expired or unused pharmaceutical products
- Packaging waste (e.g., blister packs, bottles)
- Wastewater containing active pharmaceutical ingredients</t>
        </is>
      </c>
      <c r="O25" s="5" t="inlineStr">
        <is>
          <t>2 Đại lộ tự do</t>
        </is>
      </c>
      <c r="P25" s="5" t="n">
        <v>75209</v>
      </c>
      <c r="Q25" s="5" t="inlineStr">
        <is>
          <t>Yes</t>
        </is>
      </c>
      <c r="R25" s="5" t="inlineStr">
        <is>
          <t>Yes</t>
        </is>
      </c>
      <c r="S25" s="5" t="inlineStr">
        <is>
          <t>Finneiss DB (exact); VSIP1 Company Directory PDF</t>
        </is>
      </c>
      <c r="T25" s="7" t="n"/>
      <c r="U25" s="7" t="n"/>
    </row>
    <row r="26" ht="18" customHeight="1" s="67">
      <c r="A26" s="2" t="n">
        <v>26</v>
      </c>
      <c r="B26" s="2" t="inlineStr">
        <is>
          <t>CÔNG TY TNHH ẮC QUY GS VN</t>
        </is>
      </c>
      <c r="C26" s="2" t="inlineStr">
        <is>
          <t>Provider</t>
        </is>
      </c>
      <c r="D26" s="2" t="inlineStr">
        <is>
          <t>PLASTIC_SCRAP</t>
        </is>
      </c>
      <c r="E26" s="41" t="n">
        <v>10.937062</v>
      </c>
      <c r="F26" s="41" t="n">
        <v>106.713562</v>
      </c>
      <c r="G26" s="41" t="n">
        <v>4.8</v>
      </c>
      <c r="H26" s="41" t="n">
        <v>0.2</v>
      </c>
      <c r="I26" s="59" t="n">
        <v>5</v>
      </c>
      <c r="J26" s="2" t="n">
        <v>27200</v>
      </c>
      <c r="K26" s="2" t="inlineStr">
        <is>
          <t>Manufacture of batteries and accumulators</t>
        </is>
      </c>
      <c r="L26" s="2" t="n">
        <v>2720</v>
      </c>
      <c r="M26" s="2" t="inlineStr">
        <is>
          <t>Manufactures automotive and industrial batteries.</t>
        </is>
      </c>
      <c r="N26" s="2" t="inlineStr">
        <is>
          <t>- Lead and acid waste
- Used battery casings
- Packaging waste (e.g., cardboard boxes, plastic wraps)
- Wastewater containing heavy metals</t>
        </is>
      </c>
      <c r="O26" s="2" t="inlineStr">
        <is>
          <t>18 đường 3</t>
        </is>
      </c>
      <c r="P26" s="2" t="n">
        <v>75214</v>
      </c>
      <c r="Q26" s="2" t="inlineStr">
        <is>
          <t>Yes</t>
        </is>
      </c>
      <c r="R26" s="2" t="inlineStr">
        <is>
          <t>Yes</t>
        </is>
      </c>
      <c r="S26" s="2" t="inlineStr">
        <is>
          <t>Finneiss DB (exact); VSIP1 Company Directory PDF</t>
        </is>
      </c>
      <c r="T26" s="4" t="n"/>
      <c r="U26" s="4" t="n"/>
    </row>
    <row r="27" ht="18" customHeight="1" s="67">
      <c r="A27" s="5" t="n">
        <v>38</v>
      </c>
      <c r="B27" s="5" t="inlineStr">
        <is>
          <t>CÔNG TY TNHH WELL ELECTRONICS VN</t>
        </is>
      </c>
      <c r="C27" s="5" t="inlineStr">
        <is>
          <t>Provider</t>
        </is>
      </c>
      <c r="D27" s="5" t="inlineStr">
        <is>
          <t>PLASTIC_SCRAP</t>
        </is>
      </c>
      <c r="E27" s="42" t="n">
        <v>10.931062</v>
      </c>
      <c r="F27" s="42" t="n">
        <v>106.719687</v>
      </c>
      <c r="G27" s="42" t="n">
        <v>7.2</v>
      </c>
      <c r="H27" s="42" t="n">
        <v>0.2</v>
      </c>
      <c r="I27" s="59" t="n">
        <v>5</v>
      </c>
      <c r="J27" s="5" t="n">
        <v>26100</v>
      </c>
      <c r="K27" s="5" t="inlineStr">
        <is>
          <t>Manufacture of electronic components</t>
        </is>
      </c>
      <c r="L27" s="5" t="n">
        <v>2611</v>
      </c>
      <c r="M27" s="5" t="inlineStr">
        <is>
          <t>Produces electronic components and assemblies for various applications.</t>
        </is>
      </c>
      <c r="N27" s="5" t="inlineStr">
        <is>
          <t>- Electronic waste
- Chemical waste
- Packaging waste
- Wastewater from cleaning processes</t>
        </is>
      </c>
      <c r="O27" s="5" t="inlineStr">
        <is>
          <t>17A ĐƯỜNG 4</t>
        </is>
      </c>
      <c r="P27" s="5" t="n">
        <v>75214</v>
      </c>
      <c r="Q27" s="5" t="inlineStr">
        <is>
          <t>Yes</t>
        </is>
      </c>
      <c r="R27" s="5" t="inlineStr">
        <is>
          <t>Yes</t>
        </is>
      </c>
      <c r="S27" s="5" t="inlineStr">
        <is>
          <t>Finneiss DB (exact); VSIP1 Company Directory PDF</t>
        </is>
      </c>
      <c r="T27" s="7" t="n"/>
      <c r="U27" s="7" t="n"/>
    </row>
    <row r="28" ht="18" customHeight="1" s="67">
      <c r="A28" s="2" t="n">
        <v>44</v>
      </c>
      <c r="B28" s="2" t="inlineStr">
        <is>
          <t>CÔNG TY TNHH HAYWARD QUARTZ TECHNOLOGY</t>
        </is>
      </c>
      <c r="C28" s="2" t="inlineStr">
        <is>
          <t>Provider</t>
        </is>
      </c>
      <c r="D28" s="2" t="inlineStr">
        <is>
          <t>PLASTIC_SCRAP</t>
        </is>
      </c>
      <c r="E28" s="41" t="n">
        <v>10.937563</v>
      </c>
      <c r="F28" s="41" t="n">
        <v>106.727688</v>
      </c>
      <c r="G28" s="41" t="n">
        <v>9.699999999999999</v>
      </c>
      <c r="H28" s="41" t="n">
        <v>0.2</v>
      </c>
      <c r="I28" s="59" t="n">
        <v>5</v>
      </c>
      <c r="J28" s="2" t="n">
        <v>23990</v>
      </c>
      <c r="K28" s="2" t="inlineStr">
        <is>
          <t>Manufacture of other non-metallic mineral products n.e.c.</t>
        </is>
      </c>
      <c r="L28" s="2" t="n">
        <v>2399</v>
      </c>
      <c r="M28" s="2" t="inlineStr">
        <is>
          <t>Manufactures quartz components for semiconductor and industrial applications.</t>
        </is>
      </c>
      <c r="N28" s="2" t="inlineStr">
        <is>
          <t>- Quartz scrap and offcuts
- Chemical waste from cleaning processes
- Packaging waste
- Wastewater from cleaning processes</t>
        </is>
      </c>
      <c r="O28" s="2" t="inlineStr">
        <is>
          <t>LÔ 32 ĐƯỜNG 6</t>
        </is>
      </c>
      <c r="P28" s="2" t="n">
        <v>75209</v>
      </c>
      <c r="Q28" s="2" t="inlineStr">
        <is>
          <t>Yes</t>
        </is>
      </c>
      <c r="R28" s="2" t="inlineStr">
        <is>
          <t>Yes</t>
        </is>
      </c>
      <c r="S28" s="2" t="inlineStr">
        <is>
          <t>Finneiss DB (exact); VSIP1 Company Directory PDF</t>
        </is>
      </c>
      <c r="T28" s="4" t="n"/>
      <c r="U28" s="4" t="n"/>
    </row>
    <row r="29" ht="18" customHeight="1" s="67">
      <c r="A29" s="5" t="n">
        <v>3</v>
      </c>
      <c r="B29" s="5" t="inlineStr">
        <is>
          <t>CÔNG TY TNHH AVERY DENNISON – PAXAR VN</t>
        </is>
      </c>
      <c r="C29" s="5" t="inlineStr">
        <is>
          <t>Provider</t>
        </is>
      </c>
      <c r="D29" s="5" t="inlineStr">
        <is>
          <t>PLASTIC_SCRAP</t>
        </is>
      </c>
      <c r="E29" s="40" t="n">
        <v>10.9298</v>
      </c>
      <c r="F29" s="40" t="n">
        <v>106.7218</v>
      </c>
      <c r="G29" s="40" t="n">
        <v>7.3</v>
      </c>
      <c r="H29" s="40" t="n">
        <v>0.2</v>
      </c>
      <c r="I29" s="59" t="n">
        <v>5</v>
      </c>
      <c r="J29" s="5" t="n">
        <v>17090</v>
      </c>
      <c r="K29" s="5" t="inlineStr">
        <is>
          <t>Manufacture of other articles of paper and paperboard n.e.c.</t>
        </is>
      </c>
      <c r="L29" s="5" t="n">
        <v>1729</v>
      </c>
      <c r="M29" s="5" t="inlineStr">
        <is>
          <t>Produces labeling and packaging materials, including RFID tags and adhesive labels.</t>
        </is>
      </c>
      <c r="N29" s="5" t="inlineStr">
        <is>
          <t>- Paper and adhesive waste
- Ink and solvent waste
- Wastewater from cleaning processes
- Packaging waste (e.g., plastic films, boxes)</t>
        </is>
      </c>
      <c r="O29" s="5" t="inlineStr">
        <is>
          <t>1 đường 10</t>
        </is>
      </c>
      <c r="P29" s="5" t="inlineStr">
        <is>
          <t>N/A</t>
        </is>
      </c>
      <c r="Q29" s="5" t="inlineStr">
        <is>
          <t>Yes</t>
        </is>
      </c>
      <c r="R29" s="5" t="inlineStr">
        <is>
          <t>Yes</t>
        </is>
      </c>
      <c r="S29" s="5" t="inlineStr">
        <is>
          <t>Finneiss DB (exact); VSIP1 Company Directory PDF; Address confirmed: 1 Đường 10, KCN VSIP, Bình Hòa, Thuận An, Bình Dương (viettopreview.vn VSIP1 list). GPS coordinates: not yet verified — placeholder 0,0.</t>
        </is>
      </c>
      <c r="T29" s="7" t="n"/>
      <c r="U29" s="7" t="n"/>
    </row>
    <row r="30" ht="18" customHeight="1" s="67">
      <c r="A30" s="2" t="n">
        <v>30</v>
      </c>
      <c r="B30" s="2" t="inlineStr">
        <is>
          <t>KURABE INDUSTRIAL (VN) CO., LTD</t>
        </is>
      </c>
      <c r="C30" s="2" t="inlineStr">
        <is>
          <t>Provider</t>
        </is>
      </c>
      <c r="D30" s="2" t="inlineStr">
        <is>
          <t>PLASTIC_SCRAP</t>
        </is>
      </c>
      <c r="E30" s="41" t="n">
        <v>10.935313</v>
      </c>
      <c r="F30" s="41" t="n">
        <v>106.722688</v>
      </c>
      <c r="G30" s="41" t="n">
        <v>9.9</v>
      </c>
      <c r="H30" s="41" t="n">
        <v>0.2</v>
      </c>
      <c r="I30" s="59" t="n">
        <v>5</v>
      </c>
      <c r="J30" s="2" t="n">
        <v>29300</v>
      </c>
      <c r="K30" s="2" t="inlineStr">
        <is>
          <t>Manufacture of parts and accessories for motor vehicles</t>
        </is>
      </c>
      <c r="L30" s="2" t="n">
        <v>2932</v>
      </c>
      <c r="M30" s="2" t="inlineStr">
        <is>
          <t>Produces automotive electrical components, including heating elements and sensors.</t>
        </is>
      </c>
      <c r="N30" s="2" t="inlineStr">
        <is>
          <t>- Electronic waste
- Plastic and metal scraps
- Packaging waste
- Wastewater from cleaning processes</t>
        </is>
      </c>
      <c r="O30" s="2" t="inlineStr">
        <is>
          <t>26 Đại lộ tự do</t>
        </is>
      </c>
      <c r="P30" s="2" t="n">
        <v>75209</v>
      </c>
      <c r="Q30" s="2" t="inlineStr">
        <is>
          <t>Yes</t>
        </is>
      </c>
      <c r="R30" s="2" t="inlineStr">
        <is>
          <t>Yes</t>
        </is>
      </c>
      <c r="S30" s="2" t="inlineStr">
        <is>
          <t>Finneiss DB (exact); VSIP1 Company Directory PDF</t>
        </is>
      </c>
      <c r="T30" s="4" t="n"/>
      <c r="U30" s="4" t="n"/>
    </row>
    <row r="31" ht="18" customHeight="1" s="67">
      <c r="A31" s="5" t="n">
        <v>49</v>
      </c>
      <c r="B31" s="5" t="inlineStr">
        <is>
          <t>CÔNG TY TNHH VẬT LIỆU BĂNG KEO NITTO DENKO (VN)</t>
        </is>
      </c>
      <c r="C31" s="5" t="inlineStr">
        <is>
          <t>Provider</t>
        </is>
      </c>
      <c r="D31" s="5" t="inlineStr">
        <is>
          <t>PLASTIC_SCRAP</t>
        </is>
      </c>
      <c r="E31" s="42" t="n">
        <v>10.932437</v>
      </c>
      <c r="F31" s="42" t="n">
        <v>106.730187</v>
      </c>
      <c r="G31" s="42" t="n">
        <v>3.5</v>
      </c>
      <c r="H31" s="42" t="n">
        <v>0.2</v>
      </c>
      <c r="I31" s="59" t="n">
        <v>5</v>
      </c>
      <c r="J31" s="5" t="n">
        <v>22209</v>
      </c>
      <c r="K31" s="5" t="inlineStr">
        <is>
          <t>Manufacture of other plastic products n.e.c.</t>
        </is>
      </c>
      <c r="L31" s="5" t="n">
        <v>2229</v>
      </c>
      <c r="M31" s="5" t="inlineStr">
        <is>
          <t>Manufactures adhesive tapes and functional materials for various industrial applications.</t>
        </is>
      </c>
      <c r="N31" s="5" t="inlineStr">
        <is>
          <t>- Plastic and rubber waste
- Chemical waste from adhesive production
- Packaging waste
- Wastewater from cleaning processes</t>
        </is>
      </c>
      <c r="O31" s="5" t="inlineStr">
        <is>
          <t>1 LÔ C KHO MAPLETREE ĐƯỜNG 10</t>
        </is>
      </c>
      <c r="P31" s="5" t="n">
        <v>75209</v>
      </c>
      <c r="Q31" s="5" t="inlineStr">
        <is>
          <t>No</t>
        </is>
      </c>
      <c r="R31" s="5" t="inlineStr">
        <is>
          <t>Yes</t>
        </is>
      </c>
      <c r="S31" s="5" t="inlineStr">
        <is>
          <t>Finneiss DB (exact)</t>
        </is>
      </c>
      <c r="T31" s="7" t="n"/>
      <c r="U31" s="7" t="n"/>
    </row>
    <row r="32" ht="18" customHeight="1" s="67">
      <c r="A32" s="2" t="n">
        <v>29</v>
      </c>
      <c r="B32" s="2" t="inlineStr">
        <is>
          <t>CÔNG TY LD TNHH KCN VN – SINGAPORE (VSIP)</t>
        </is>
      </c>
      <c r="C32" s="2" t="inlineStr">
        <is>
          <t>Provider</t>
        </is>
      </c>
      <c r="D32" s="2" t="inlineStr">
        <is>
          <t>PAPER_WASTE</t>
        </is>
      </c>
      <c r="E32" s="41" t="n">
        <v>10.937313</v>
      </c>
      <c r="F32" s="41" t="n">
        <v>106.738984</v>
      </c>
      <c r="G32" s="41" t="n">
        <v>6.9</v>
      </c>
      <c r="H32" s="41" t="n">
        <v>0.2</v>
      </c>
      <c r="I32" s="59" t="n">
        <v>5</v>
      </c>
      <c r="J32" s="2" t="n">
        <v>68100</v>
      </c>
      <c r="K32" s="2" t="inlineStr">
        <is>
          <t>Real estate activities with own or leased property</t>
        </is>
      </c>
      <c r="L32" s="2" t="n">
        <v>6810</v>
      </c>
      <c r="M32" s="2" t="inlineStr">
        <is>
          <t>Joint venture company managing the Vietnam-Singapore Industrial Park (VSIP), providing infrastructure and services to tenants.</t>
        </is>
      </c>
      <c r="N32" s="2" t="inlineStr">
        <is>
          <t>- Office waste
- Maintenance waste
- Landscaping waste
- Wastewater from facility operations</t>
        </is>
      </c>
      <c r="O32" s="2" t="inlineStr">
        <is>
          <t>8 Đại lộ Hữu Nghị</t>
        </is>
      </c>
      <c r="P32" s="2" t="n">
        <v>75209</v>
      </c>
      <c r="Q32" s="2" t="inlineStr">
        <is>
          <t>Yes</t>
        </is>
      </c>
      <c r="R32" s="2" t="inlineStr">
        <is>
          <t>Yes</t>
        </is>
      </c>
      <c r="S32" s="2" t="inlineStr">
        <is>
          <t>Finneiss DB (exact); VSIP1 Company Directory PDF</t>
        </is>
      </c>
      <c r="T32" s="4" t="n"/>
      <c r="U32" s="4" t="n"/>
    </row>
    <row r="33" ht="18" customHeight="1" s="67">
      <c r="A33" s="5" t="n">
        <v>77</v>
      </c>
      <c r="B33" s="5" t="inlineStr">
        <is>
          <t>DAILY FULL INT’L PRINTING (VN) CO. LTD</t>
        </is>
      </c>
      <c r="C33" s="5" t="inlineStr">
        <is>
          <t>Provider</t>
        </is>
      </c>
      <c r="D33" s="5" t="inlineStr">
        <is>
          <t>PAPER_WASTE</t>
        </is>
      </c>
      <c r="E33" s="42" t="n">
        <v>10.929562</v>
      </c>
      <c r="F33" s="42" t="n">
        <v>106.723813</v>
      </c>
      <c r="G33" s="42" t="n">
        <v>8.5</v>
      </c>
      <c r="H33" s="42" t="n">
        <v>0.2</v>
      </c>
      <c r="I33" s="59" t="n">
        <v>5</v>
      </c>
      <c r="J33" s="5" t="n">
        <v>18110</v>
      </c>
      <c r="K33" s="5" t="inlineStr">
        <is>
          <t>Printing</t>
        </is>
      </c>
      <c r="L33" s="5" t="n">
        <v>1811</v>
      </c>
      <c r="M33" s="5" t="inlineStr">
        <is>
          <t>Provides printing services, including barcode labels and packaging materials.</t>
        </is>
      </c>
      <c r="N33" s="5" t="inlineStr">
        <is>
          <t>- Ink and solvent waste
- Paper waste
- Packaging waste
- Wastewater from equipment cleaning</t>
        </is>
      </c>
      <c r="O33" s="5" t="inlineStr">
        <is>
          <t>7 ĐƯỜNG 8</t>
        </is>
      </c>
      <c r="P33" s="5" t="n">
        <v>75214</v>
      </c>
      <c r="Q33" s="5" t="inlineStr">
        <is>
          <t>Yes</t>
        </is>
      </c>
      <c r="R33" s="5" t="inlineStr">
        <is>
          <t>Yes</t>
        </is>
      </c>
      <c r="S33" s="5" t="inlineStr">
        <is>
          <t>Finneiss DB (exact); VSIP1 Company Directory PDF</t>
        </is>
      </c>
      <c r="T33" s="7" t="n"/>
      <c r="U33" s="7" t="n"/>
    </row>
    <row r="34" ht="18" customHeight="1" s="67">
      <c r="A34" s="2" t="n">
        <v>50</v>
      </c>
      <c r="B34" s="2" t="inlineStr">
        <is>
          <t>CÔNG TY TNHH CPAC MONIER VN</t>
        </is>
      </c>
      <c r="C34" s="2" t="inlineStr">
        <is>
          <t>Provider</t>
        </is>
      </c>
      <c r="D34" s="2" t="inlineStr">
        <is>
          <t>PAPER_WASTE</t>
        </is>
      </c>
      <c r="E34" s="41" t="n">
        <v>10.924437</v>
      </c>
      <c r="F34" s="41" t="n">
        <v>106.713562</v>
      </c>
      <c r="G34" s="41" t="n">
        <v>1.7</v>
      </c>
      <c r="H34" s="41" t="n">
        <v>0.2</v>
      </c>
      <c r="I34" s="59" t="n">
        <v>5</v>
      </c>
      <c r="J34" s="2" t="n">
        <v>23950</v>
      </c>
      <c r="K34" s="2" t="inlineStr">
        <is>
          <t>Manufacture of articles of concrete, cement and plaster</t>
        </is>
      </c>
      <c r="L34" s="2" t="n">
        <v>2369</v>
      </c>
      <c r="M34" s="2" t="inlineStr">
        <is>
          <t>Produces concrete roofing tiles and related construction materials.</t>
        </is>
      </c>
      <c r="N34" s="2" t="inlineStr">
        <is>
          <t>- Concrete and cement dust
- Sludge from cleaning
- Packaging waste
- General industrial waste</t>
        </is>
      </c>
      <c r="O34" s="2" t="inlineStr">
        <is>
          <t>9 ĐƯỜNG 10</t>
        </is>
      </c>
      <c r="P34" s="2" t="n">
        <v>75214</v>
      </c>
      <c r="Q34" s="2" t="inlineStr">
        <is>
          <t>No</t>
        </is>
      </c>
      <c r="R34" s="2" t="inlineStr">
        <is>
          <t>Yes</t>
        </is>
      </c>
      <c r="S34" s="2" t="inlineStr">
        <is>
          <t>Finneiss DB (exact)</t>
        </is>
      </c>
      <c r="T34" s="4" t="n"/>
      <c r="U34" s="4" t="n"/>
    </row>
    <row r="35" ht="18" customHeight="1" s="67">
      <c r="A35" s="5" t="n">
        <v>72</v>
      </c>
      <c r="B35" s="5" t="inlineStr">
        <is>
          <t>NGÂN HÀNG BIDV – CN NAM BÌNH DƯƠNG</t>
        </is>
      </c>
      <c r="C35" s="5" t="inlineStr">
        <is>
          <t>Provider</t>
        </is>
      </c>
      <c r="D35" s="5" t="inlineStr">
        <is>
          <t>PAPER_WASTE</t>
        </is>
      </c>
      <c r="E35" s="42" t="n">
        <v>10.924563</v>
      </c>
      <c r="F35" s="42" t="n">
        <v>106.714562</v>
      </c>
      <c r="G35" s="42" t="n">
        <v>7.5</v>
      </c>
      <c r="H35" s="42" t="n">
        <v>0.2</v>
      </c>
      <c r="I35" s="59" t="n">
        <v>5</v>
      </c>
      <c r="J35" s="5" t="n">
        <v>64190</v>
      </c>
      <c r="K35" s="5" t="inlineStr">
        <is>
          <t>Other monetary intermediation n.e.c.</t>
        </is>
      </c>
      <c r="L35" s="5" t="n">
        <v>6419</v>
      </c>
      <c r="M35" s="5" t="inlineStr">
        <is>
          <t>Provides banking and financial services as a branch of BIDV.</t>
        </is>
      </c>
      <c r="N35" s="5" t="inlineStr">
        <is>
          <t>- Paper waste (documents, forms)
- Electronic waste (obsolete equipment)
- General office waste</t>
        </is>
      </c>
      <c r="O35" s="5" t="inlineStr">
        <is>
          <t>7-8 ĐƯỜNG 3</t>
        </is>
      </c>
      <c r="P35" s="5" t="n">
        <v>75214</v>
      </c>
      <c r="Q35" s="5" t="inlineStr">
        <is>
          <t>No</t>
        </is>
      </c>
      <c r="R35" s="5" t="inlineStr">
        <is>
          <t>Yes</t>
        </is>
      </c>
      <c r="S35" s="5" t="inlineStr">
        <is>
          <t>Finneiss DB (exact)</t>
        </is>
      </c>
      <c r="T35" s="7" t="n"/>
      <c r="U35" s="7" t="n"/>
    </row>
    <row r="36" ht="18" customHeight="1" s="67">
      <c r="A36" s="2" t="n">
        <v>35</v>
      </c>
      <c r="B36" s="2" t="inlineStr">
        <is>
          <t>CÔNG TY TNHH KIMBERLY CLARK VN</t>
        </is>
      </c>
      <c r="C36" s="2" t="inlineStr">
        <is>
          <t>Provider</t>
        </is>
      </c>
      <c r="D36" s="2" t="inlineStr">
        <is>
          <t>PAPER_WASTE</t>
        </is>
      </c>
      <c r="E36" s="41" t="n">
        <v>10.924688</v>
      </c>
      <c r="F36" s="41" t="n">
        <v>106.725188</v>
      </c>
      <c r="G36" s="41" t="n">
        <v>5.3</v>
      </c>
      <c r="H36" s="41" t="n">
        <v>0.2</v>
      </c>
      <c r="I36" s="59" t="n">
        <v>5</v>
      </c>
      <c r="J36" s="2" t="n">
        <v>17090</v>
      </c>
      <c r="K36" s="2" t="inlineStr">
        <is>
          <t>Manufacture of other articles of paper and paperboard n.e.c.</t>
        </is>
      </c>
      <c r="L36" s="2" t="n">
        <v>1729</v>
      </c>
      <c r="M36" s="2" t="inlineStr">
        <is>
          <t>Manufactures sanitary paper products such as diapers, tissues, and napkins.</t>
        </is>
      </c>
      <c r="N36" s="2" t="inlineStr">
        <is>
          <t>- Paper and pulp waste
- Chemical waste
- Packaging waste
- Wastewater from cleaning operations</t>
        </is>
      </c>
      <c r="O36" s="2" t="inlineStr">
        <is>
          <t>32 Đại lộ Hữu Nghị</t>
        </is>
      </c>
      <c r="P36" s="2" t="n">
        <v>75214</v>
      </c>
      <c r="Q36" s="2" t="inlineStr">
        <is>
          <t>Yes</t>
        </is>
      </c>
      <c r="R36" s="2" t="inlineStr">
        <is>
          <t>Yes</t>
        </is>
      </c>
      <c r="S36" s="2" t="inlineStr">
        <is>
          <t>Finneiss DB (exact); VSIP1 Company Directory PDF</t>
        </is>
      </c>
      <c r="T36" s="4" t="n"/>
      <c r="U36" s="4" t="n"/>
    </row>
    <row r="37" ht="18" customHeight="1" s="67">
      <c r="A37" s="2" t="n">
        <v>27</v>
      </c>
      <c r="B37" s="2" t="inlineStr">
        <is>
          <t>CÔNG TY LD TNHH ANOVA</t>
        </is>
      </c>
      <c r="C37" s="2" t="inlineStr">
        <is>
          <t>Provider</t>
        </is>
      </c>
      <c r="D37" s="2" t="inlineStr">
        <is>
          <t>PAPER_WASTE</t>
        </is>
      </c>
      <c r="E37" s="41" t="n">
        <v>10.928062</v>
      </c>
      <c r="F37" s="41" t="n">
        <v>106.722437</v>
      </c>
      <c r="G37" s="41" t="n">
        <v>0.2</v>
      </c>
      <c r="H37" s="41" t="n">
        <v>0.2</v>
      </c>
      <c r="I37" s="59" t="n">
        <v>5</v>
      </c>
      <c r="J37" s="2" t="n">
        <v>21002</v>
      </c>
      <c r="K37" s="2" t="inlineStr">
        <is>
          <t>Manufacture of veterinary preparations</t>
        </is>
      </c>
      <c r="L37" s="2" t="n">
        <v>2110</v>
      </c>
      <c r="M37" s="2" t="inlineStr">
        <is>
          <t>Specializes in manufacturing veterinary medicines and nutritional products for livestock and poultry.</t>
        </is>
      </c>
      <c r="N37" s="2" t="inlineStr">
        <is>
          <t>- Chemical waste from pharmaceutical production
- Expired or unused veterinary products
- Packaging waste
- Wastewater containing active pharmaceutical ingredients</t>
        </is>
      </c>
      <c r="O37" s="2" t="inlineStr">
        <is>
          <t>36 Đại lộ Độc lập</t>
        </is>
      </c>
      <c r="P37" s="2" t="n">
        <v>75209</v>
      </c>
      <c r="Q37" s="2" t="inlineStr">
        <is>
          <t>Yes</t>
        </is>
      </c>
      <c r="R37" s="2" t="inlineStr">
        <is>
          <t>Yes</t>
        </is>
      </c>
      <c r="S37" s="2" t="inlineStr">
        <is>
          <t>Finneiss DB (exact); VSIP1 Company Directory PDF</t>
        </is>
      </c>
      <c r="T37" s="4" t="n"/>
      <c r="U37" s="4" t="n"/>
    </row>
    <row r="38" ht="18" customHeight="1" s="67">
      <c r="A38" s="5" t="n">
        <v>28</v>
      </c>
      <c r="B38" s="5" t="inlineStr">
        <is>
          <t>CÔNG TY TNHH ASUZAC</t>
        </is>
      </c>
      <c r="C38" s="5" t="inlineStr">
        <is>
          <t>Provider</t>
        </is>
      </c>
      <c r="D38" s="5" t="inlineStr">
        <is>
          <t>PAPER_WASTE</t>
        </is>
      </c>
      <c r="E38" s="42" t="n">
        <v>10.937313</v>
      </c>
      <c r="F38" s="42" t="n">
        <v>106.730937</v>
      </c>
      <c r="G38" s="42" t="n">
        <v>4.3</v>
      </c>
      <c r="H38" s="42" t="n">
        <v>0.2</v>
      </c>
      <c r="I38" s="59" t="n">
        <v>5</v>
      </c>
      <c r="J38" s="5" t="n">
        <v>23990</v>
      </c>
      <c r="K38" s="5" t="inlineStr">
        <is>
          <t>Manufacture of other non-metallic mineral products n.e.c.</t>
        </is>
      </c>
      <c r="L38" s="5" t="n">
        <v>2399</v>
      </c>
      <c r="M38" s="5" t="inlineStr">
        <is>
          <t>Manufactures precision ceramic components and refractory materials for industrial applications.</t>
        </is>
      </c>
      <c r="N38" s="5" t="inlineStr">
        <is>
          <t>- Ceramic waste and offcuts
- Dust and particulate emissions
- Packaging waste
- Wastewater from cleaning processes</t>
        </is>
      </c>
      <c r="O38" s="5" t="inlineStr">
        <is>
          <t>1 đường 8</t>
        </is>
      </c>
      <c r="P38" s="5" t="n">
        <v>75209</v>
      </c>
      <c r="Q38" s="5" t="inlineStr">
        <is>
          <t>Yes</t>
        </is>
      </c>
      <c r="R38" s="5" t="inlineStr">
        <is>
          <t>Yes</t>
        </is>
      </c>
      <c r="S38" s="5" t="inlineStr">
        <is>
          <t>Finneiss DB (exact); VSIP1 Company Directory PDF</t>
        </is>
      </c>
      <c r="T38" s="7" t="n"/>
      <c r="U38" s="7" t="n"/>
    </row>
    <row r="39" ht="18" customHeight="1" s="67">
      <c r="A39" s="2" t="n">
        <v>47</v>
      </c>
      <c r="B39" s="2" t="inlineStr">
        <is>
          <t>CÔNG TY TNHH NEW TOYO PULPPY VN</t>
        </is>
      </c>
      <c r="C39" s="2" t="inlineStr">
        <is>
          <t>Provider</t>
        </is>
      </c>
      <c r="D39" s="2" t="inlineStr">
        <is>
          <t>PAPER_WASTE</t>
        </is>
      </c>
      <c r="E39" s="41" t="n">
        <v>10.937812</v>
      </c>
      <c r="F39" s="41" t="n">
        <v>106.717813</v>
      </c>
      <c r="G39" s="41" t="n">
        <v>9.800000000000001</v>
      </c>
      <c r="H39" s="41" t="n">
        <v>0.2</v>
      </c>
      <c r="I39" s="59" t="n">
        <v>5</v>
      </c>
      <c r="J39" s="2" t="n">
        <v>17090</v>
      </c>
      <c r="K39" s="2" t="inlineStr">
        <is>
          <t>Manufacture of other articles of paper and paperboard n.e.c.</t>
        </is>
      </c>
      <c r="L39" s="2" t="n">
        <v>1729</v>
      </c>
      <c r="M39" s="2" t="inlineStr">
        <is>
          <t>Manufactures tissue paper and related hygiene products.</t>
        </is>
      </c>
      <c r="N39" s="2" t="inlineStr">
        <is>
          <t>- Paper and pulp waste
- Chemical waste from bleaching
- Packaging waste
- Wastewater from cleaning processes</t>
        </is>
      </c>
      <c r="O39" s="2" t="inlineStr">
        <is>
          <t>8 ĐƯỜNG 6</t>
        </is>
      </c>
      <c r="P39" s="2" t="n">
        <v>75209</v>
      </c>
      <c r="Q39" s="2" t="inlineStr">
        <is>
          <t>Yes</t>
        </is>
      </c>
      <c r="R39" s="2" t="inlineStr">
        <is>
          <t>Yes</t>
        </is>
      </c>
      <c r="S39" s="2" t="inlineStr">
        <is>
          <t>Finneiss DB (exact); VSIP1 Company Directory PDF</t>
        </is>
      </c>
      <c r="T39" s="4" t="n"/>
      <c r="U39" s="4" t="n"/>
    </row>
    <row r="40" ht="18" customHeight="1" s="67">
      <c r="A40" s="2" t="n">
        <v>10</v>
      </c>
      <c r="B40" s="2" t="inlineStr">
        <is>
          <t>CÔNG TY TNHH FIRST STATIONERY (VN)</t>
        </is>
      </c>
      <c r="C40" s="2" t="inlineStr">
        <is>
          <t>Provider</t>
        </is>
      </c>
      <c r="D40" s="2" t="inlineStr">
        <is>
          <t>PAPER_WASTE</t>
        </is>
      </c>
      <c r="E40" s="41" t="n">
        <v>10.928187</v>
      </c>
      <c r="F40" s="41" t="n">
        <v>106.727563</v>
      </c>
      <c r="G40" s="41" t="n">
        <v>1.1</v>
      </c>
      <c r="H40" s="41" t="n">
        <v>0.2</v>
      </c>
      <c r="I40" s="59" t="n">
        <v>5</v>
      </c>
      <c r="J40" s="2" t="n">
        <v>17090</v>
      </c>
      <c r="K40" s="2" t="inlineStr">
        <is>
          <t>Manufacture of other articles of paper and paperboard n.e.c.</t>
        </is>
      </c>
      <c r="L40" s="2" t="n">
        <v>1729</v>
      </c>
      <c r="M40" s="2" t="inlineStr">
        <is>
          <t>Manufactures wooden pencils and colored pencils for export.</t>
        </is>
      </c>
      <c r="N40" s="2" t="inlineStr">
        <is>
          <t>- Wood shavings and dust
- Paint and lacquer waste
- Packaging waste (e.g., paper boxes, plastic wraps)
- Wastewater from cleaning processes</t>
        </is>
      </c>
      <c r="O40" s="2" t="inlineStr">
        <is>
          <t>52 Đại lộ Độc lập</t>
        </is>
      </c>
      <c r="P40" s="2" t="n">
        <v>75209</v>
      </c>
      <c r="Q40" s="2" t="inlineStr">
        <is>
          <t>Yes</t>
        </is>
      </c>
      <c r="R40" s="2" t="inlineStr">
        <is>
          <t>Yes</t>
        </is>
      </c>
      <c r="S40" s="2" t="inlineStr">
        <is>
          <t>Finneiss DB (exact); VSIP1 Company Directory PDF</t>
        </is>
      </c>
      <c r="T40" s="4" t="n"/>
      <c r="U40" s="4" t="n"/>
    </row>
    <row r="41" ht="18" customHeight="1" s="67">
      <c r="A41" s="5" t="n">
        <v>20</v>
      </c>
      <c r="B41" s="5" t="inlineStr">
        <is>
          <t>CÔNG TY TNHH SX BAO BÌ ALCAMAX VN</t>
        </is>
      </c>
      <c r="C41" s="5" t="inlineStr">
        <is>
          <t>Provider</t>
        </is>
      </c>
      <c r="D41" s="5" t="inlineStr">
        <is>
          <t>PAPER_WASTE</t>
        </is>
      </c>
      <c r="E41" s="42" t="n">
        <v>10.898312</v>
      </c>
      <c r="F41" s="42" t="n">
        <v>106.720938</v>
      </c>
      <c r="G41" s="42" t="n">
        <v>5</v>
      </c>
      <c r="H41" s="42" t="n">
        <v>0.2</v>
      </c>
      <c r="I41" s="59" t="n">
        <v>5</v>
      </c>
      <c r="J41" s="5" t="n">
        <v>17020</v>
      </c>
      <c r="K41" s="5" t="inlineStr">
        <is>
          <t>Manufacture of corrugated paper and paperboard and of containers of paper and paperboard</t>
        </is>
      </c>
      <c r="L41" s="5" t="n">
        <v>1721</v>
      </c>
      <c r="M41" s="5" t="inlineStr">
        <is>
          <t>Manufactures corrugated boxes and other paper-based packaging materials.</t>
        </is>
      </c>
      <c r="N41" s="5" t="inlineStr">
        <is>
          <t>- Paper and cardboard waste
- Ink and adhesive waste
- Packaging waste (e.g., plastic wraps, pallets)
- Wastewater from cleaning processes</t>
        </is>
      </c>
      <c r="O41" s="5" t="inlineStr">
        <is>
          <t>7 đường 6</t>
        </is>
      </c>
      <c r="P41" s="5" t="n">
        <v>75207</v>
      </c>
      <c r="Q41" s="5" t="inlineStr">
        <is>
          <t>Yes</t>
        </is>
      </c>
      <c r="R41" s="5" t="inlineStr">
        <is>
          <t>Yes</t>
        </is>
      </c>
      <c r="S41" s="5" t="inlineStr">
        <is>
          <t>Finneiss DB (exact); VSIP1 Company Directory PDF</t>
        </is>
      </c>
      <c r="T41" s="7" t="n"/>
      <c r="U41" s="7" t="n"/>
    </row>
    <row r="42" ht="18" customHeight="1" s="67">
      <c r="A42" s="2" t="n">
        <v>36</v>
      </c>
      <c r="B42" s="2" t="inlineStr">
        <is>
          <t>CÔNG TY TNHH CASARREDO</t>
        </is>
      </c>
      <c r="C42" s="2" t="inlineStr">
        <is>
          <t>Provider</t>
        </is>
      </c>
      <c r="D42" s="2" t="inlineStr">
        <is>
          <t>PAPER_WASTE</t>
        </is>
      </c>
      <c r="E42" s="41" t="n">
        <v>10.935313</v>
      </c>
      <c r="F42" s="41" t="n">
        <v>106.728062</v>
      </c>
      <c r="G42" s="41" t="n">
        <v>6.4</v>
      </c>
      <c r="H42" s="41" t="n">
        <v>0.2</v>
      </c>
      <c r="I42" s="59" t="n">
        <v>5</v>
      </c>
      <c r="J42" s="2" t="n">
        <v>31009</v>
      </c>
      <c r="K42" s="2" t="inlineStr">
        <is>
          <t>Manufacture of other furniture n.e.c.</t>
        </is>
      </c>
      <c r="L42" s="2" t="n">
        <v>3109</v>
      </c>
      <c r="M42" s="2" t="inlineStr">
        <is>
          <t>Manufactures wooden furniture and interior decoration products.</t>
        </is>
      </c>
      <c r="N42" s="2" t="inlineStr">
        <is>
          <t>- Wood shavings
- Paint and varnish waste
- Packaging waste
- Wastewater from cleaning processes</t>
        </is>
      </c>
      <c r="O42" s="2" t="inlineStr">
        <is>
          <t>32 Đại lộ tự do</t>
        </is>
      </c>
      <c r="P42" s="2" t="n">
        <v>75209</v>
      </c>
      <c r="Q42" s="2" t="inlineStr">
        <is>
          <t>Yes</t>
        </is>
      </c>
      <c r="R42" s="2" t="inlineStr">
        <is>
          <t>Yes</t>
        </is>
      </c>
      <c r="S42" s="2" t="inlineStr">
        <is>
          <t>Finneiss DB (exact); VSIP1 Company Directory PDF</t>
        </is>
      </c>
      <c r="T42" s="4" t="n"/>
      <c r="U42" s="4" t="n"/>
    </row>
    <row r="43" ht="18" customHeight="1" s="67">
      <c r="A43" s="5" t="n">
        <v>12</v>
      </c>
      <c r="B43" s="5" t="inlineStr">
        <is>
          <t>CÔNG TY TNHH SHUAN HWA INDUSTRIAL VN</t>
        </is>
      </c>
      <c r="C43" s="5" t="inlineStr">
        <is>
          <t>Provider</t>
        </is>
      </c>
      <c r="D43" s="5" t="inlineStr">
        <is>
          <t>FERROUS_METAL</t>
        </is>
      </c>
      <c r="E43" s="42" t="n">
        <v>10.926813</v>
      </c>
      <c r="F43" s="42" t="n">
        <v>106.722688</v>
      </c>
      <c r="G43" s="42" t="n">
        <v>8.300000000000001</v>
      </c>
      <c r="H43" s="42" t="n">
        <v>0.2</v>
      </c>
      <c r="I43" s="59" t="n">
        <v>5</v>
      </c>
      <c r="J43" s="5" t="n">
        <v>28290</v>
      </c>
      <c r="K43" s="5" t="inlineStr">
        <is>
          <t>Manufacture of other special-purpose machinery</t>
        </is>
      </c>
      <c r="L43" s="5" t="n">
        <v>2899</v>
      </c>
      <c r="M43" s="5" t="inlineStr">
        <is>
          <t>Manufactures specialized machinery and equipment.</t>
        </is>
      </c>
      <c r="N43" s="5" t="inlineStr">
        <is>
          <t>- Metal shavings and machining waste
- Lubricant and coolant waste
- Packaging waste (e.g., wooden crates, plastic wraps)
- Wastewater from cleaning processes</t>
        </is>
      </c>
      <c r="O43" s="5" t="inlineStr">
        <is>
          <t>19 Đại lộ Độc lập</t>
        </is>
      </c>
      <c r="P43" s="5" t="n">
        <v>75214</v>
      </c>
      <c r="Q43" s="5" t="inlineStr">
        <is>
          <t>Yes</t>
        </is>
      </c>
      <c r="R43" s="5" t="inlineStr">
        <is>
          <t>Yes</t>
        </is>
      </c>
      <c r="S43" s="5" t="inlineStr">
        <is>
          <t>Finneiss DB (exact); VSIP1 Company Directory PDF</t>
        </is>
      </c>
      <c r="T43" s="7" t="n"/>
      <c r="U43" s="7" t="n"/>
    </row>
    <row r="44" ht="18" customHeight="1" s="67">
      <c r="A44" s="2" t="n">
        <v>21</v>
      </c>
      <c r="B44" s="2" t="inlineStr">
        <is>
          <t>SUNLIGHT ELECTRICAL (VN) CO., LTD</t>
        </is>
      </c>
      <c r="C44" s="2" t="inlineStr">
        <is>
          <t>Provider</t>
        </is>
      </c>
      <c r="D44" s="2" t="inlineStr">
        <is>
          <t>FERROUS_METAL</t>
        </is>
      </c>
      <c r="E44" s="41" t="n">
        <v>10.927812</v>
      </c>
      <c r="F44" s="41" t="n">
        <v>106.718437</v>
      </c>
      <c r="G44" s="41" t="n">
        <v>6.6</v>
      </c>
      <c r="H44" s="41" t="n">
        <v>0.2</v>
      </c>
      <c r="I44" s="59" t="n">
        <v>5</v>
      </c>
      <c r="J44" s="2" t="n">
        <v>27120</v>
      </c>
      <c r="K44" s="2" t="inlineStr">
        <is>
          <t>Manufacture of electricity distribution and control apparatus</t>
        </is>
      </c>
      <c r="L44" s="2" t="n">
        <v>2712</v>
      </c>
      <c r="M44" s="2" t="inlineStr">
        <is>
          <t>Produces electrical switchboards and related components.</t>
        </is>
      </c>
      <c r="N44" s="2" t="inlineStr">
        <is>
          <t>- Metal and plastic scrap
- Electronic waste (defective components)
- Packaging waste (e.g., cardboard boxes, plastic films)
- Wastewater from cleaning processes</t>
        </is>
      </c>
      <c r="O44" s="2" t="inlineStr">
        <is>
          <t>20 Đại lộ Độc lập</t>
        </is>
      </c>
      <c r="P44" s="2" t="n">
        <v>75214</v>
      </c>
      <c r="Q44" s="2" t="inlineStr">
        <is>
          <t>Yes</t>
        </is>
      </c>
      <c r="R44" s="2" t="inlineStr">
        <is>
          <t>Yes</t>
        </is>
      </c>
      <c r="S44" s="2" t="inlineStr">
        <is>
          <t>Finneiss DB (exact); VSIP1 Company Directory PDF</t>
        </is>
      </c>
      <c r="T44" s="4" t="n"/>
      <c r="U44" s="4" t="n"/>
    </row>
    <row r="45" ht="18" customHeight="1" s="67">
      <c r="A45" s="5" t="n">
        <v>31</v>
      </c>
      <c r="B45" s="5" t="inlineStr">
        <is>
          <t>CTY TNHH KHÍ CN MESSER VN</t>
        </is>
      </c>
      <c r="C45" s="5" t="inlineStr">
        <is>
          <t>Provider</t>
        </is>
      </c>
      <c r="D45" s="5" t="inlineStr">
        <is>
          <t>FERROUS_METAL</t>
        </is>
      </c>
      <c r="E45" s="42" t="n">
        <v>10.937337</v>
      </c>
      <c r="F45" s="42" t="n">
        <v>106.715078</v>
      </c>
      <c r="G45" s="42" t="n">
        <v>2.9</v>
      </c>
      <c r="H45" s="42" t="n">
        <v>0.2</v>
      </c>
      <c r="I45" s="59" t="n">
        <v>5</v>
      </c>
      <c r="J45" s="5" t="n">
        <v>20112</v>
      </c>
      <c r="K45" s="5" t="inlineStr">
        <is>
          <t>Manufacture of industrial gases</t>
        </is>
      </c>
      <c r="L45" s="5" t="n">
        <v>2011</v>
      </c>
      <c r="M45" s="5" t="inlineStr">
        <is>
          <t>Supplies industrial gases such as oxygen, nitrogen, and argon for various industries.</t>
        </is>
      </c>
      <c r="N45" s="5" t="inlineStr">
        <is>
          <t>- Gas emissions
- Used gas cylinders
- Packaging waste
- Wastewater from equipment cleaning processes</t>
        </is>
      </c>
      <c r="O45" s="5" t="inlineStr">
        <is>
          <t>21 Đường 3</t>
        </is>
      </c>
      <c r="P45" s="5" t="n">
        <v>75209</v>
      </c>
      <c r="Q45" s="5" t="inlineStr">
        <is>
          <t>Yes</t>
        </is>
      </c>
      <c r="R45" s="5" t="inlineStr">
        <is>
          <t>Yes</t>
        </is>
      </c>
      <c r="S45" s="5" t="inlineStr">
        <is>
          <t>Finneiss DB (exact); VSIP1 Company Directory PDF</t>
        </is>
      </c>
      <c r="T45" s="7" t="n"/>
      <c r="U45" s="7" t="n"/>
    </row>
    <row r="46" ht="18" customHeight="1" s="67">
      <c r="A46" s="2" t="n">
        <v>39</v>
      </c>
      <c r="B46" s="2" t="inlineStr">
        <is>
          <t>CÔNG TY TNHH KOK FENG (VN)</t>
        </is>
      </c>
      <c r="C46" s="2" t="inlineStr">
        <is>
          <t>Provider</t>
        </is>
      </c>
      <c r="D46" s="2" t="inlineStr">
        <is>
          <t>FERROUS_METAL</t>
        </is>
      </c>
      <c r="E46" s="41" t="n">
        <v>10.931062</v>
      </c>
      <c r="F46" s="41" t="n">
        <v>106.721312</v>
      </c>
      <c r="G46" s="41" t="n">
        <v>4.5</v>
      </c>
      <c r="H46" s="41" t="n">
        <v>0.2</v>
      </c>
      <c r="I46" s="59" t="n">
        <v>5</v>
      </c>
      <c r="J46" s="2" t="n">
        <v>27120</v>
      </c>
      <c r="K46" s="2" t="inlineStr">
        <is>
          <t>Manufacture of electricity distribution and control apparatus</t>
        </is>
      </c>
      <c r="L46" s="2" t="n">
        <v>2712</v>
      </c>
      <c r="M46" s="2" t="inlineStr">
        <is>
          <t>Manufactures electrical cabinets and related components.</t>
        </is>
      </c>
      <c r="N46" s="2" t="inlineStr">
        <is>
          <t>- Metal and plastic scraps
- Paint and solvent waste
- Packaging waste
- Wastewater from cleaning processes</t>
        </is>
      </c>
      <c r="O46" s="2" t="inlineStr">
        <is>
          <t>19B ĐƯỜNG 4</t>
        </is>
      </c>
      <c r="P46" s="2" t="n">
        <v>75214</v>
      </c>
      <c r="Q46" s="2" t="inlineStr">
        <is>
          <t>Yes</t>
        </is>
      </c>
      <c r="R46" s="2" t="inlineStr">
        <is>
          <t>Yes</t>
        </is>
      </c>
      <c r="S46" s="2" t="inlineStr">
        <is>
          <t>Finneiss DB (exact); VSIP1 Company Directory PDF</t>
        </is>
      </c>
      <c r="T46" s="4" t="n"/>
      <c r="U46" s="4" t="n"/>
    </row>
    <row r="47" ht="18" customHeight="1" s="67">
      <c r="A47" s="5" t="n">
        <v>40</v>
      </c>
      <c r="B47" s="5" t="inlineStr">
        <is>
          <t>CÔNG TY TNHH CHUAN HO (VN)</t>
        </is>
      </c>
      <c r="C47" s="5" t="inlineStr">
        <is>
          <t>Provider</t>
        </is>
      </c>
      <c r="D47" s="5" t="inlineStr">
        <is>
          <t>FERROUS_METAL</t>
        </is>
      </c>
      <c r="E47" s="42" t="n">
        <v>10.934812</v>
      </c>
      <c r="F47" s="42" t="n">
        <v>106.706437</v>
      </c>
      <c r="G47" s="42" t="n">
        <v>2.1</v>
      </c>
      <c r="H47" s="42" t="n">
        <v>0.2</v>
      </c>
      <c r="I47" s="59" t="n">
        <v>5</v>
      </c>
      <c r="J47" s="5" t="n">
        <v>25920</v>
      </c>
      <c r="K47" s="5" t="inlineStr">
        <is>
          <t>Manufacture of light metal packaging</t>
        </is>
      </c>
      <c r="L47" s="5" t="n">
        <v>2592</v>
      </c>
      <c r="M47" s="5" t="inlineStr">
        <is>
          <t>Specializes in precision machining and manufacturing of metal parts.</t>
        </is>
      </c>
      <c r="N47" s="5" t="inlineStr">
        <is>
          <t>- Metal shavings
- Lubricant and coolant waste
- Packaging waste
- Wastewater from cleaning processes</t>
        </is>
      </c>
      <c r="O47" s="5" t="inlineStr">
        <is>
          <t>17B ĐƯỜNG 4</t>
        </is>
      </c>
      <c r="P47" s="5" t="n">
        <v>75214</v>
      </c>
      <c r="Q47" s="5" t="inlineStr">
        <is>
          <t>Yes</t>
        </is>
      </c>
      <c r="R47" s="5" t="inlineStr">
        <is>
          <t>Yes</t>
        </is>
      </c>
      <c r="S47" s="5" t="inlineStr">
        <is>
          <t>Finneiss DB (exact); VSIP1 Company Directory PDF</t>
        </is>
      </c>
      <c r="T47" s="7" t="n"/>
      <c r="U47" s="7" t="n"/>
    </row>
    <row r="48" ht="18" customHeight="1" s="67">
      <c r="A48" s="2" t="n">
        <v>46</v>
      </c>
      <c r="B48" s="2" t="inlineStr">
        <is>
          <t>CÔNG TY TNHH COMPASS 2</t>
        </is>
      </c>
      <c r="C48" s="2" t="inlineStr">
        <is>
          <t>Provider</t>
        </is>
      </c>
      <c r="D48" s="2" t="inlineStr">
        <is>
          <t>FERROUS_METAL</t>
        </is>
      </c>
      <c r="E48" s="41" t="n">
        <v>10.927663</v>
      </c>
      <c r="F48" s="41" t="n">
        <v>106.729297</v>
      </c>
      <c r="G48" s="41" t="n">
        <v>3.7</v>
      </c>
      <c r="H48" s="41" t="n">
        <v>0.2</v>
      </c>
      <c r="I48" s="59" t="n">
        <v>5</v>
      </c>
      <c r="J48" s="2" t="n">
        <v>25999</v>
      </c>
      <c r="K48" s="2" t="inlineStr">
        <is>
          <t>Manufacture of other fabricated metal products n.e.c.</t>
        </is>
      </c>
      <c r="L48" s="2" t="n">
        <v>2599</v>
      </c>
      <c r="M48" s="2" t="inlineStr">
        <is>
          <t>Produces fabricated metal products such as storage racks, lockers, and steel furniture.</t>
        </is>
      </c>
      <c r="N48" s="2" t="inlineStr">
        <is>
          <t>- Metal scrap and shavings
- Powder coating or paint waste
- Packaging waste
- Wastewater from fabrication</t>
        </is>
      </c>
      <c r="O48" s="2" t="inlineStr">
        <is>
          <t>35 Đại lộ Độc lập</t>
        </is>
      </c>
      <c r="P48" s="2" t="n">
        <v>75209</v>
      </c>
      <c r="Q48" s="2" t="inlineStr">
        <is>
          <t>Yes</t>
        </is>
      </c>
      <c r="R48" s="2" t="inlineStr">
        <is>
          <t>Yes</t>
        </is>
      </c>
      <c r="S48" s="2" t="inlineStr">
        <is>
          <t>Finneiss DB (exact); VSIP1 Company Directory PDF</t>
        </is>
      </c>
      <c r="T48" s="4" t="n"/>
      <c r="U48" s="4" t="n"/>
    </row>
    <row r="49" ht="18" customHeight="1" s="67">
      <c r="A49" s="5" t="n">
        <v>52</v>
      </c>
      <c r="B49" s="5" t="inlineStr">
        <is>
          <t>CÔNG TY TNHH ZENG HSING INDUSTRIAL</t>
        </is>
      </c>
      <c r="C49" s="5" t="inlineStr">
        <is>
          <t>Provider</t>
        </is>
      </c>
      <c r="D49" s="5" t="inlineStr">
        <is>
          <t>FERROUS_METAL</t>
        </is>
      </c>
      <c r="E49" s="42" t="n">
        <v>10.938063</v>
      </c>
      <c r="F49" s="42" t="n">
        <v>106.725313</v>
      </c>
      <c r="G49" s="42" t="n">
        <v>2.5</v>
      </c>
      <c r="H49" s="42" t="n">
        <v>0.2</v>
      </c>
      <c r="I49" s="59" t="n">
        <v>5</v>
      </c>
      <c r="J49" s="5" t="n">
        <v>28260</v>
      </c>
      <c r="K49" s="5" t="inlineStr">
        <is>
          <t>Manufacture of machinery for textile, apparel and leather production</t>
        </is>
      </c>
      <c r="L49" s="5" t="n">
        <v>2894</v>
      </c>
      <c r="M49" s="5" t="inlineStr">
        <is>
          <t>Manufactures sewing machines and related components.</t>
        </is>
      </c>
      <c r="N49" s="5" t="inlineStr">
        <is>
          <t>- Metal shavings
- Lubricant and coolant waste
- Packaging waste
- Wastewater from cleaning processes</t>
        </is>
      </c>
      <c r="O49" s="5" t="inlineStr">
        <is>
          <t>20A ĐƯỜNG 6</t>
        </is>
      </c>
      <c r="P49" s="5" t="n">
        <v>75209</v>
      </c>
      <c r="Q49" s="5" t="inlineStr">
        <is>
          <t>No</t>
        </is>
      </c>
      <c r="R49" s="5" t="inlineStr">
        <is>
          <t>Yes</t>
        </is>
      </c>
      <c r="S49" s="5" t="inlineStr">
        <is>
          <t>Finneiss DB (exact)</t>
        </is>
      </c>
      <c r="T49" s="7" t="n"/>
      <c r="U49" s="7" t="n"/>
    </row>
    <row r="50" ht="18" customHeight="1" s="67">
      <c r="A50" s="2" t="n">
        <v>53</v>
      </c>
      <c r="B50" s="2" t="inlineStr">
        <is>
          <t>CÔNG TY TNHH MIDEA CONSUMER ELECTRIC (VN)</t>
        </is>
      </c>
      <c r="C50" s="2" t="inlineStr">
        <is>
          <t>Provider</t>
        </is>
      </c>
      <c r="D50" s="2" t="inlineStr">
        <is>
          <t>FERROUS_METAL</t>
        </is>
      </c>
      <c r="E50" s="41" t="n">
        <v>10.937687</v>
      </c>
      <c r="F50" s="41" t="n">
        <v>106.735563</v>
      </c>
      <c r="G50" s="41" t="n">
        <v>0.3</v>
      </c>
      <c r="H50" s="41" t="n">
        <v>0.2</v>
      </c>
      <c r="I50" s="59" t="n">
        <v>5</v>
      </c>
      <c r="J50" s="2" t="n">
        <v>27500</v>
      </c>
      <c r="K50" s="2" t="inlineStr">
        <is>
          <t>Manufacture of domestic appliances</t>
        </is>
      </c>
      <c r="L50" s="2" t="n">
        <v>2751</v>
      </c>
      <c r="M50" s="2" t="inlineStr">
        <is>
          <t>Manufactures household electrical appliances such as vacuum cleaners, rice cookers, and electric fans.</t>
        </is>
      </c>
      <c r="N50" s="2" t="inlineStr">
        <is>
          <t>- Electronic waste
- Plastic and metal scraps
- Packaging waste
- Wastewater from cleaning processes</t>
        </is>
      </c>
      <c r="O50" s="2" t="inlineStr">
        <is>
          <t>40 ĐƯỜNG 6</t>
        </is>
      </c>
      <c r="P50" s="2" t="n">
        <v>75209</v>
      </c>
      <c r="Q50" s="2" t="inlineStr">
        <is>
          <t>No</t>
        </is>
      </c>
      <c r="R50" s="2" t="inlineStr">
        <is>
          <t>Yes</t>
        </is>
      </c>
      <c r="S50" s="2" t="inlineStr">
        <is>
          <t>Finneiss DB (exact)</t>
        </is>
      </c>
      <c r="T50" s="4" t="n"/>
      <c r="U50" s="4" t="n"/>
    </row>
    <row r="51" ht="18" customHeight="1" s="67">
      <c r="A51" s="5" t="n">
        <v>56</v>
      </c>
      <c r="B51" s="5" t="inlineStr">
        <is>
          <t>CÔNG TY TNHH APM SPRINGS (VN)</t>
        </is>
      </c>
      <c r="C51" s="5" t="inlineStr">
        <is>
          <t>Provider</t>
        </is>
      </c>
      <c r="D51" s="5" t="inlineStr">
        <is>
          <t>FERROUS_METAL</t>
        </is>
      </c>
      <c r="E51" s="42" t="n">
        <v>10.934687</v>
      </c>
      <c r="F51" s="42" t="n">
        <v>106.728813</v>
      </c>
      <c r="G51" s="42" t="n">
        <v>1.5</v>
      </c>
      <c r="H51" s="42" t="n">
        <v>0.2</v>
      </c>
      <c r="I51" s="59" t="n">
        <v>5</v>
      </c>
      <c r="J51" s="5" t="n">
        <v>25991</v>
      </c>
      <c r="K51" s="5" t="inlineStr">
        <is>
          <t>Manufacture of springs</t>
        </is>
      </c>
      <c r="L51" s="5" t="n">
        <v>2591</v>
      </c>
      <c r="M51" s="5" t="inlineStr">
        <is>
          <t>Manufactures automotive springs and components.</t>
        </is>
      </c>
      <c r="N51" s="5" t="inlineStr">
        <is>
          <t>- Metal shavings
- Lubricant and coolant waste
- Packaging and wastewater from machining</t>
        </is>
      </c>
      <c r="O51" s="5" t="inlineStr">
        <is>
          <t>25 Đại lộ tự do</t>
        </is>
      </c>
      <c r="P51" s="5" t="n">
        <v>75209</v>
      </c>
      <c r="Q51" s="5" t="inlineStr">
        <is>
          <t>No</t>
        </is>
      </c>
      <c r="R51" s="5" t="inlineStr">
        <is>
          <t>Yes</t>
        </is>
      </c>
      <c r="S51" s="5" t="inlineStr">
        <is>
          <t>Finneiss DB (exact)</t>
        </is>
      </c>
      <c r="T51" s="7" t="n"/>
      <c r="U51" s="7" t="n"/>
    </row>
    <row r="52" ht="18" customHeight="1" s="67">
      <c r="A52" s="2" t="n">
        <v>58</v>
      </c>
      <c r="B52" s="2" t="inlineStr">
        <is>
          <t>CÔNG TY TNHH VN HWA YANG</t>
        </is>
      </c>
      <c r="C52" s="2" t="inlineStr">
        <is>
          <t>Provider</t>
        </is>
      </c>
      <c r="D52" s="2" t="inlineStr">
        <is>
          <t>FERROUS_METAL</t>
        </is>
      </c>
      <c r="E52" s="41" t="n">
        <v>10.936813</v>
      </c>
      <c r="F52" s="41" t="n">
        <v>106.738438</v>
      </c>
      <c r="G52" s="41" t="n">
        <v>5.4</v>
      </c>
      <c r="H52" s="41" t="n">
        <v>0.2</v>
      </c>
      <c r="I52" s="59" t="n">
        <v>5</v>
      </c>
      <c r="J52" s="2" t="n">
        <v>25931</v>
      </c>
      <c r="K52" s="2" t="inlineStr">
        <is>
          <t>Manufacture of fasteners and screw machine products</t>
        </is>
      </c>
      <c r="L52" s="2" t="n">
        <v>2594</v>
      </c>
      <c r="M52" s="2" t="inlineStr">
        <is>
          <t>Manufactures zippers and related accessories for garments.</t>
        </is>
      </c>
      <c r="N52" s="2" t="inlineStr">
        <is>
          <t>- Metal and plastic scraps
- Chemical waste from plating
- Packaging waste
- Wastewater from cleaning processes</t>
        </is>
      </c>
      <c r="O52" s="2" t="inlineStr">
        <is>
          <t>49 ĐƯỜNG 6</t>
        </is>
      </c>
      <c r="P52" s="2" t="n">
        <v>75209</v>
      </c>
      <c r="Q52" s="2" t="inlineStr">
        <is>
          <t>No</t>
        </is>
      </c>
      <c r="R52" s="2" t="inlineStr">
        <is>
          <t>Yes</t>
        </is>
      </c>
      <c r="S52" s="2" t="inlineStr">
        <is>
          <t>Finneiss DB (exact)</t>
        </is>
      </c>
      <c r="T52" s="4" t="n"/>
      <c r="U52" s="4" t="n"/>
    </row>
    <row r="53" ht="18" customHeight="1" s="67">
      <c r="A53" s="5" t="n">
        <v>65</v>
      </c>
      <c r="B53" s="5" t="inlineStr">
        <is>
          <t>CÔNG TY TNHH UCHIHASHI VN</t>
        </is>
      </c>
      <c r="C53" s="5" t="inlineStr">
        <is>
          <t>Provider</t>
        </is>
      </c>
      <c r="D53" s="5" t="inlineStr">
        <is>
          <t>FERROUS_METAL</t>
        </is>
      </c>
      <c r="E53" s="42" t="n">
        <v>11.081312</v>
      </c>
      <c r="F53" s="42" t="n">
        <v>106.681687</v>
      </c>
      <c r="G53" s="42" t="n">
        <v>1.8</v>
      </c>
      <c r="H53" s="42" t="n">
        <v>0.2</v>
      </c>
      <c r="I53" s="59" t="n">
        <v>5</v>
      </c>
      <c r="J53" s="5" t="n">
        <v>27900</v>
      </c>
      <c r="K53" s="5" t="inlineStr">
        <is>
          <t>Manufacture of other electrical equipment</t>
        </is>
      </c>
      <c r="L53" s="5" t="n">
        <v>2790</v>
      </c>
      <c r="M53" s="5" t="inlineStr">
        <is>
          <t>Manufactures bimetal thermostats and heat control devices.</t>
        </is>
      </c>
      <c r="N53" s="5" t="inlineStr">
        <is>
          <t>- Electronic waste
- Metal scraps
- Packaging waste
- Cleaning-related wastewater</t>
        </is>
      </c>
      <c r="O53" s="5" t="inlineStr">
        <is>
          <t>23 ĐƯỜNG 4</t>
        </is>
      </c>
      <c r="P53" s="5" t="n">
        <v>75900</v>
      </c>
      <c r="Q53" s="5" t="inlineStr">
        <is>
          <t>No</t>
        </is>
      </c>
      <c r="R53" s="5" t="inlineStr">
        <is>
          <t>Yes</t>
        </is>
      </c>
      <c r="S53" s="5" t="inlineStr">
        <is>
          <t>Finneiss DB (exact)</t>
        </is>
      </c>
      <c r="T53" s="7" t="n"/>
      <c r="U53" s="7" t="n"/>
    </row>
    <row r="54" ht="18" customHeight="1" s="67">
      <c r="A54" s="2" t="n">
        <v>69</v>
      </c>
      <c r="B54" s="2" t="inlineStr">
        <is>
          <t>CÔNG TY TNHH HI – TECH WIRES ASIA</t>
        </is>
      </c>
      <c r="C54" s="2" t="inlineStr">
        <is>
          <t>Provider</t>
        </is>
      </c>
      <c r="D54" s="2" t="inlineStr">
        <is>
          <t>FERROUS_METAL</t>
        </is>
      </c>
      <c r="E54" s="41" t="n">
        <v>10.937687</v>
      </c>
      <c r="F54" s="41" t="n">
        <v>106.738438</v>
      </c>
      <c r="G54" s="41" t="n">
        <v>0.9</v>
      </c>
      <c r="H54" s="41" t="n">
        <v>0.2</v>
      </c>
      <c r="I54" s="59" t="n">
        <v>5</v>
      </c>
      <c r="J54" s="2" t="n">
        <v>25930</v>
      </c>
      <c r="K54" s="2" t="inlineStr">
        <is>
          <t>Manufacture of wire products, chain and springs</t>
        </is>
      </c>
      <c r="L54" s="2" t="n">
        <v>2593</v>
      </c>
      <c r="M54" s="2" t="inlineStr">
        <is>
          <t>Produces steel wires and related metal products for various industrial applications.</t>
        </is>
      </c>
      <c r="N54" s="2" t="inlineStr">
        <is>
          <t>- Metal shavings and machining waste
- Lubricant and coolant waste
- Packaging waste
- Wastewater from cleaning processes</t>
        </is>
      </c>
      <c r="O54" s="2" t="inlineStr">
        <is>
          <t>46 ĐƯỜNG 6</t>
        </is>
      </c>
      <c r="P54" s="2" t="n">
        <v>75209</v>
      </c>
      <c r="Q54" s="2" t="inlineStr">
        <is>
          <t>No</t>
        </is>
      </c>
      <c r="R54" s="2" t="inlineStr">
        <is>
          <t>Yes</t>
        </is>
      </c>
      <c r="S54" s="2" t="inlineStr">
        <is>
          <t>Finneiss DB (exact)</t>
        </is>
      </c>
      <c r="T54" s="4" t="n"/>
      <c r="U54" s="4" t="n"/>
    </row>
    <row r="55" ht="18" customHeight="1" s="67">
      <c r="A55" s="5" t="n">
        <v>75</v>
      </c>
      <c r="B55" s="5" t="inlineStr">
        <is>
          <t>TONG CHANG ELECTRIC MACHINERY CO., LTD</t>
        </is>
      </c>
      <c r="C55" s="5" t="inlineStr">
        <is>
          <t>Provider</t>
        </is>
      </c>
      <c r="D55" s="5" t="inlineStr">
        <is>
          <t>FERROUS_METAL</t>
        </is>
      </c>
      <c r="E55" s="42" t="n">
        <v>10.927312</v>
      </c>
      <c r="F55" s="42" t="n">
        <v>106.717813</v>
      </c>
      <c r="G55" s="42" t="n">
        <v>1.3</v>
      </c>
      <c r="H55" s="42" t="n">
        <v>0.2</v>
      </c>
      <c r="I55" s="59" t="n">
        <v>5</v>
      </c>
      <c r="J55" s="5" t="n">
        <v>27110</v>
      </c>
      <c r="K55" s="5" t="inlineStr">
        <is>
          <t>Manufacture of electric motors, generators, transformers and electricity distribution equipment</t>
        </is>
      </c>
      <c r="L55" s="5" t="n">
        <v>2711</v>
      </c>
      <c r="M55" s="5" t="inlineStr">
        <is>
          <t>Manufactures electric motors and machinery parts.</t>
        </is>
      </c>
      <c r="N55" s="5" t="inlineStr">
        <is>
          <t>- Metal scrap and shavings
- Electrical waste (wiring, coils)
- Packaging waste (boxes, films)
- Wastewater from equipment cleaning</t>
        </is>
      </c>
      <c r="O55" s="5" t="inlineStr">
        <is>
          <t>7Đại lộ Độc lập</t>
        </is>
      </c>
      <c r="P55" s="5" t="n">
        <v>75214</v>
      </c>
      <c r="Q55" s="5" t="inlineStr">
        <is>
          <t>No</t>
        </is>
      </c>
      <c r="R55" s="5" t="inlineStr">
        <is>
          <t>Yes</t>
        </is>
      </c>
      <c r="S55" s="5" t="inlineStr">
        <is>
          <t>Finneiss DB (exact)</t>
        </is>
      </c>
      <c r="T55" s="7" t="n"/>
      <c r="U55" s="7" t="n"/>
    </row>
    <row r="56" ht="18" customHeight="1" s="67">
      <c r="A56" s="5" t="n">
        <v>82</v>
      </c>
      <c r="B56" s="5" t="inlineStr">
        <is>
          <t>CÔNG TY TNHH HYUN DAE SM VINA</t>
        </is>
      </c>
      <c r="C56" s="5" t="inlineStr">
        <is>
          <t>Provider</t>
        </is>
      </c>
      <c r="D56" s="5" t="inlineStr">
        <is>
          <t>TEXTILE_WASTE</t>
        </is>
      </c>
      <c r="E56" s="42" t="n">
        <v>10.929312</v>
      </c>
      <c r="F56" s="42" t="n">
        <v>106.724187</v>
      </c>
      <c r="G56" s="42" t="n">
        <v>2.3</v>
      </c>
      <c r="H56" s="42" t="n">
        <v>0.2</v>
      </c>
      <c r="I56" s="59" t="n">
        <v>5</v>
      </c>
      <c r="J56" s="5" t="n">
        <v>13300</v>
      </c>
      <c r="K56" s="5" t="inlineStr">
        <is>
          <t>Finishing of textiles</t>
        </is>
      </c>
      <c r="L56" s="5" t="n">
        <v>1330</v>
      </c>
      <c r="M56" s="5" t="inlineStr">
        <is>
          <t>Specializes in textile finishing, coating, and lamination.</t>
        </is>
      </c>
      <c r="N56" s="5" t="inlineStr">
        <is>
          <t>- Chemical coating waste
- Textile residues
- Wastewater from processes
- Packaging waste</t>
        </is>
      </c>
      <c r="O56" s="5" t="inlineStr">
        <is>
          <t>9 ĐƯỜNG 8</t>
        </is>
      </c>
      <c r="P56" s="5" t="n">
        <v>75214</v>
      </c>
      <c r="Q56" s="5" t="inlineStr">
        <is>
          <t>No</t>
        </is>
      </c>
      <c r="R56" s="5" t="inlineStr">
        <is>
          <t>Yes</t>
        </is>
      </c>
      <c r="S56" s="5" t="inlineStr">
        <is>
          <t>Finneiss DB (exact)</t>
        </is>
      </c>
      <c r="T56" s="7" t="n"/>
      <c r="U56" s="7" t="n"/>
    </row>
    <row r="57" ht="18" customHeight="1" s="67">
      <c r="A57" s="2" t="n">
        <v>80</v>
      </c>
      <c r="B57" s="2" t="inlineStr">
        <is>
          <t>CÔNG TY TNHH APPAREL FAR EASTERN (VN)</t>
        </is>
      </c>
      <c r="C57" s="2" t="inlineStr">
        <is>
          <t>Provider</t>
        </is>
      </c>
      <c r="D57" s="2" t="inlineStr">
        <is>
          <t>TEXTILE_WASTE</t>
        </is>
      </c>
      <c r="E57" s="41" t="n">
        <v>10.935187</v>
      </c>
      <c r="F57" s="41" t="n">
        <v>106.737562</v>
      </c>
      <c r="G57" s="41" t="n">
        <v>3.4</v>
      </c>
      <c r="H57" s="41" t="n">
        <v>0.2</v>
      </c>
      <c r="I57" s="59" t="n">
        <v>5</v>
      </c>
      <c r="J57" s="2" t="n">
        <v>14100</v>
      </c>
      <c r="K57" s="2" t="inlineStr">
        <is>
          <t>Manufacture of wearing apparel, except fur apparel</t>
        </is>
      </c>
      <c r="L57" s="2" t="n">
        <v>141</v>
      </c>
      <c r="M57" s="2" t="inlineStr">
        <is>
          <t>Manufactures textiles and garments for export.</t>
        </is>
      </c>
      <c r="N57" s="2" t="inlineStr">
        <is>
          <t>- Textile offcuts
- Wastewater from dyeing
- Chemical residues
- Packaging waste</t>
        </is>
      </c>
      <c r="O57" s="2" t="inlineStr">
        <is>
          <t>11 ĐƯỜNG 4</t>
        </is>
      </c>
      <c r="P57" s="2" t="n">
        <v>75209</v>
      </c>
      <c r="Q57" s="2" t="inlineStr">
        <is>
          <t>Yes</t>
        </is>
      </c>
      <c r="R57" s="2" t="inlineStr">
        <is>
          <t>Yes</t>
        </is>
      </c>
      <c r="S57" s="2" t="inlineStr">
        <is>
          <t>Finneiss DB (exact); VSIP1 Company Directory PDF</t>
        </is>
      </c>
      <c r="T57" s="4" t="n"/>
      <c r="U57" s="4" t="n"/>
    </row>
    <row r="58" ht="18" customHeight="1" s="67">
      <c r="A58" s="5" t="n">
        <v>9</v>
      </c>
      <c r="B58" s="5" t="inlineStr">
        <is>
          <t>CÔNG TY TNHH DỆT DERHAO (VN)</t>
        </is>
      </c>
      <c r="C58" s="5" t="inlineStr">
        <is>
          <t>Provider</t>
        </is>
      </c>
      <c r="D58" s="5" t="inlineStr">
        <is>
          <t>TEXTILE_WASTE</t>
        </is>
      </c>
      <c r="E58" s="42" t="n">
        <v>10.914438</v>
      </c>
      <c r="F58" s="42" t="n">
        <v>106.713437</v>
      </c>
      <c r="G58" s="42" t="n">
        <v>5.6</v>
      </c>
      <c r="H58" s="42" t="n">
        <v>0.2</v>
      </c>
      <c r="I58" s="59" t="n">
        <v>5</v>
      </c>
      <c r="J58" s="5" t="n">
        <v>13120</v>
      </c>
      <c r="K58" s="5" t="inlineStr">
        <is>
          <t>Weaving of textiles</t>
        </is>
      </c>
      <c r="L58" s="5" t="n">
        <v>1320</v>
      </c>
      <c r="M58" s="5" t="inlineStr">
        <is>
          <t>Produces jacquard woven fabrics for tablecloths, curtains, cushions, and sofas.</t>
        </is>
      </c>
      <c r="N58" s="5" t="inlineStr">
        <is>
          <t>- Textile waste
- Dye waste
- Wastewater
- Packaging waste</t>
        </is>
      </c>
      <c r="O58" s="5" t="inlineStr">
        <is>
          <t>21 Đại lộ Hữu Nghị</t>
        </is>
      </c>
      <c r="P58" s="5" t="n">
        <v>75214</v>
      </c>
      <c r="Q58" s="5" t="inlineStr">
        <is>
          <t>Yes</t>
        </is>
      </c>
      <c r="R58" s="5" t="inlineStr">
        <is>
          <t>Yes</t>
        </is>
      </c>
      <c r="S58" s="5" t="inlineStr">
        <is>
          <t>Finneiss DB (exact); VSIP1 Company Directory PDF</t>
        </is>
      </c>
      <c r="T58" s="7" t="n"/>
      <c r="U58" s="7" t="n"/>
    </row>
    <row r="59" ht="18" customHeight="1" s="67">
      <c r="A59" s="2" t="n">
        <v>66</v>
      </c>
      <c r="B59" s="2" t="inlineStr">
        <is>
          <t>CÔNG TY TNHH SG KNITWEAR</t>
        </is>
      </c>
      <c r="C59" s="2" t="inlineStr">
        <is>
          <t>Provider</t>
        </is>
      </c>
      <c r="D59" s="2" t="inlineStr">
        <is>
          <t>TEXTILE_WASTE</t>
        </is>
      </c>
      <c r="E59" s="41" t="n">
        <v>10.929063</v>
      </c>
      <c r="F59" s="41" t="n">
        <v>106.720438</v>
      </c>
      <c r="G59" s="41" t="n">
        <v>8.800000000000001</v>
      </c>
      <c r="H59" s="41" t="n">
        <v>0.2</v>
      </c>
      <c r="I59" s="59" t="n">
        <v>5</v>
      </c>
      <c r="J59" s="2" t="n">
        <v>14100</v>
      </c>
      <c r="K59" s="2" t="inlineStr">
        <is>
          <t>Manufacture of wearing apparel, except fur apparel</t>
        </is>
      </c>
      <c r="L59" s="2" t="n">
        <v>141</v>
      </c>
      <c r="M59" s="2" t="inlineStr">
        <is>
          <t>Produces knitted garments and textile products for export.</t>
        </is>
      </c>
      <c r="N59" s="2" t="inlineStr">
        <is>
          <t>- Textile waste
- Dye and chemical waste
- Packaging waste
- Wastewater from dyeing/washing</t>
        </is>
      </c>
      <c r="O59" s="2" t="inlineStr">
        <is>
          <t>6B ĐƯỜNG 2A</t>
        </is>
      </c>
      <c r="P59" s="2" t="n">
        <v>75214</v>
      </c>
      <c r="Q59" s="2" t="inlineStr">
        <is>
          <t>Yes</t>
        </is>
      </c>
      <c r="R59" s="2" t="inlineStr">
        <is>
          <t>Yes</t>
        </is>
      </c>
      <c r="S59" s="2" t="inlineStr">
        <is>
          <t>Finneiss DB (exact); VSIP1 Company Directory PDF</t>
        </is>
      </c>
      <c r="T59" s="4" t="n"/>
      <c r="U59" s="4" t="n"/>
    </row>
    <row r="60" ht="18" customHeight="1" s="67">
      <c r="A60" s="5" t="n">
        <v>6</v>
      </c>
      <c r="B60" s="5" t="inlineStr">
        <is>
          <t>CÔNG TY TNHH ESQUEL GARMENT (VN)</t>
        </is>
      </c>
      <c r="C60" s="5" t="inlineStr">
        <is>
          <t>Provider</t>
        </is>
      </c>
      <c r="D60" s="5" t="inlineStr">
        <is>
          <t>TEXTILE_WASTE</t>
        </is>
      </c>
      <c r="E60" s="42" t="n">
        <v>10.929562</v>
      </c>
      <c r="F60" s="42" t="n">
        <v>106.723938</v>
      </c>
      <c r="G60" s="42" t="n">
        <v>3.2</v>
      </c>
      <c r="H60" s="42" t="n">
        <v>0.2</v>
      </c>
      <c r="I60" s="59" t="n">
        <v>5</v>
      </c>
      <c r="J60" s="5" t="n">
        <v>14100</v>
      </c>
      <c r="K60" s="5" t="inlineStr">
        <is>
          <t>Manufacture of wearing apparel, except fur apparel</t>
        </is>
      </c>
      <c r="L60" s="5" t="n">
        <v>141</v>
      </c>
      <c r="M60" s="5" t="inlineStr">
        <is>
          <t>Manufactures garments, especially shirts for export.</t>
        </is>
      </c>
      <c r="N60" s="5" t="inlineStr">
        <is>
          <t>- Textile waste
- Wastewater from dyeing/washing
- Packaging waste (bags, boxes)</t>
        </is>
      </c>
      <c r="O60" s="5" t="inlineStr">
        <is>
          <t>9 ĐƯỜNG 5</t>
        </is>
      </c>
      <c r="P60" s="5" t="n">
        <v>75214</v>
      </c>
      <c r="Q60" s="5" t="inlineStr">
        <is>
          <t>Yes</t>
        </is>
      </c>
      <c r="R60" s="5" t="inlineStr">
        <is>
          <t>Yes</t>
        </is>
      </c>
      <c r="S60" s="5" t="inlineStr">
        <is>
          <t>Finneiss DB (exact); VSIP1 Company Directory PDF</t>
        </is>
      </c>
      <c r="T60" s="7" t="n"/>
      <c r="U60" s="7" t="n"/>
    </row>
    <row r="61" ht="18" customHeight="1" s="67">
      <c r="A61" s="2" t="n">
        <v>22</v>
      </c>
      <c r="B61" s="2" t="inlineStr">
        <is>
          <t>CÔNG TY TNHH TSUCHIYA TSCO VN</t>
        </is>
      </c>
      <c r="C61" s="2" t="inlineStr">
        <is>
          <t>Provider</t>
        </is>
      </c>
      <c r="D61" s="2" t="inlineStr">
        <is>
          <t>TEXTILE_WASTE</t>
        </is>
      </c>
      <c r="E61" s="41" t="n">
        <v>10.927188</v>
      </c>
      <c r="F61" s="41" t="n">
        <v>106.717438</v>
      </c>
      <c r="G61" s="41" t="n">
        <v>2</v>
      </c>
      <c r="H61" s="41" t="n">
        <v>0.2</v>
      </c>
      <c r="I61" s="59" t="n">
        <v>5</v>
      </c>
      <c r="J61" s="2" t="n">
        <v>13990</v>
      </c>
      <c r="K61" s="2" t="inlineStr">
        <is>
          <t>Manufacture of other textiles n.e.c.</t>
        </is>
      </c>
      <c r="L61" s="2" t="n">
        <v>1399</v>
      </c>
      <c r="M61" s="2" t="inlineStr">
        <is>
          <t>Manufactures industrial textile materials, including coated fabrics and technical tapes.</t>
        </is>
      </c>
      <c r="N61" s="2" t="inlineStr">
        <is>
          <t>- Textile offcuts and scraps
- Chemical waste from coating processes
- Packaging waste (e.g., plastic films, boxes)
- Wastewater from cleaning processes</t>
        </is>
      </c>
      <c r="O61" s="2" t="inlineStr">
        <is>
          <t>5 Đại lộ Độc lập</t>
        </is>
      </c>
      <c r="P61" s="2" t="n">
        <v>75214</v>
      </c>
      <c r="Q61" s="2" t="inlineStr">
        <is>
          <t>Yes</t>
        </is>
      </c>
      <c r="R61" s="2" t="inlineStr">
        <is>
          <t>Yes</t>
        </is>
      </c>
      <c r="S61" s="2" t="inlineStr">
        <is>
          <t>Finneiss DB (exact); VSIP1 Company Directory PDF</t>
        </is>
      </c>
      <c r="T61" s="4" t="n"/>
      <c r="U61" s="4" t="n"/>
    </row>
    <row r="62" ht="18" customHeight="1" s="67">
      <c r="A62" s="2" t="n">
        <v>61</v>
      </c>
      <c r="B62" s="2" t="inlineStr">
        <is>
          <t>CÔNG TY TNHH SATO SANGYO VN</t>
        </is>
      </c>
      <c r="C62" s="2" t="inlineStr">
        <is>
          <t>Provider</t>
        </is>
      </c>
      <c r="D62" s="2" t="inlineStr">
        <is>
          <t>TEXTILE_WASTE</t>
        </is>
      </c>
      <c r="E62" s="41" t="n">
        <v>11.095313</v>
      </c>
      <c r="F62" s="41" t="n">
        <v>106.656688</v>
      </c>
      <c r="G62" s="41" t="n">
        <v>4</v>
      </c>
      <c r="H62" s="41" t="n">
        <v>0.2</v>
      </c>
      <c r="I62" s="59" t="n">
        <v>5</v>
      </c>
      <c r="J62" s="2" t="n">
        <v>32900</v>
      </c>
      <c r="K62" s="2" t="inlineStr">
        <is>
          <t>Other manufacturing n.e.c.</t>
        </is>
      </c>
      <c r="L62" s="2" t="n">
        <v>3299</v>
      </c>
      <c r="M62" s="2" t="inlineStr">
        <is>
          <t>Manufactures interior materials, medical supplies, and decorative items.</t>
        </is>
      </c>
      <c r="N62" s="2" t="inlineStr">
        <is>
          <t>- Textile and plastic scraps
- Chemical waste
- Packaging waste
- Wastewater from cleaning processes</t>
        </is>
      </c>
      <c r="O62" s="2" t="inlineStr">
        <is>
          <t>37 ĐƯỜNG 6</t>
        </is>
      </c>
      <c r="P62" s="2" t="n">
        <v>75900</v>
      </c>
      <c r="Q62" s="2" t="inlineStr">
        <is>
          <t>No</t>
        </is>
      </c>
      <c r="R62" s="2" t="inlineStr">
        <is>
          <t>Yes</t>
        </is>
      </c>
      <c r="S62" s="2" t="inlineStr">
        <is>
          <t>Finneiss DB (exact)</t>
        </is>
      </c>
      <c r="T62" s="4" t="n"/>
      <c r="U62" s="4" t="n"/>
    </row>
    <row r="63" ht="18" customHeight="1" s="67">
      <c r="A63" s="5" t="n">
        <v>2</v>
      </c>
      <c r="B63" s="5" t="inlineStr">
        <is>
          <t>CÔNG TY TNHH VIỆT NAM DONGYUN PLATE MAKING</t>
        </is>
      </c>
      <c r="C63" s="5" t="inlineStr">
        <is>
          <t>Provider</t>
        </is>
      </c>
      <c r="D63" s="5" t="inlineStr">
        <is>
          <t>NON_FERROUS_METAL</t>
        </is>
      </c>
      <c r="E63" s="42" t="n">
        <v>10.934988</v>
      </c>
      <c r="F63" s="42" t="n">
        <v>106.721672</v>
      </c>
      <c r="G63" s="42" t="n">
        <v>7.3</v>
      </c>
      <c r="H63" s="42" t="n">
        <v>0.2</v>
      </c>
      <c r="I63" s="59" t="n">
        <v>5</v>
      </c>
      <c r="J63" s="5" t="n">
        <v>18110</v>
      </c>
      <c r="K63" s="5" t="inlineStr">
        <is>
          <t>Printing</t>
        </is>
      </c>
      <c r="L63" s="5" t="n">
        <v>1811</v>
      </c>
      <c r="M63" s="5" t="inlineStr">
        <is>
          <t>Manufactures gravure printing cylinders for the printing industry.</t>
        </is>
      </c>
      <c r="N63" s="5" t="inlineStr">
        <is>
          <t>- Metal shavings and waste from cylinder production
- Chemical waste from engraving processes
- Wastewater containing inks and solvents
- Packaging waste (e.g., plastic films, boxes)</t>
        </is>
      </c>
      <c r="O63" s="5" t="inlineStr">
        <is>
          <t>1 đường 10 Vsip 1 Bình Dương</t>
        </is>
      </c>
      <c r="P63" s="5" t="n">
        <v>75209</v>
      </c>
      <c r="Q63" s="5" t="inlineStr">
        <is>
          <t>No</t>
        </is>
      </c>
      <c r="R63" s="5" t="inlineStr">
        <is>
          <t>Yes</t>
        </is>
      </c>
      <c r="S63" s="5" t="inlineStr">
        <is>
          <t>Finneiss DB (exact)</t>
        </is>
      </c>
      <c r="T63" s="7" t="n"/>
      <c r="U63" s="7" t="n"/>
    </row>
    <row r="64" ht="18" customHeight="1" s="67">
      <c r="A64" s="2" t="n">
        <v>74</v>
      </c>
      <c r="B64" s="2" t="inlineStr">
        <is>
          <t>CÔNG TY TNHH VN DONG YUN PLATE MAKING</t>
        </is>
      </c>
      <c r="C64" s="2" t="inlineStr">
        <is>
          <t>Provider</t>
        </is>
      </c>
      <c r="D64" s="2" t="inlineStr">
        <is>
          <t>NON_FERROUS_METAL</t>
        </is>
      </c>
      <c r="E64" s="41" t="n">
        <v>10.935063</v>
      </c>
      <c r="F64" s="41" t="n">
        <v>106.721812</v>
      </c>
      <c r="G64" s="41" t="n">
        <v>9.1</v>
      </c>
      <c r="H64" s="41" t="n">
        <v>0.2</v>
      </c>
      <c r="I64" s="59" t="n">
        <v>5</v>
      </c>
      <c r="J64" s="2" t="n">
        <v>18110</v>
      </c>
      <c r="K64" s="2" t="inlineStr">
        <is>
          <t>Printing</t>
        </is>
      </c>
      <c r="L64" s="2" t="n">
        <v>1811</v>
      </c>
      <c r="M64" s="2" t="inlineStr">
        <is>
          <t>Manufactures gravure printing cylinders for the printing industry.</t>
        </is>
      </c>
      <c r="N64" s="2" t="inlineStr">
        <is>
          <t>- Metal shavings and waste from cylinder production
- Chemical waste from engraving processes
- Wastewater containing inks and solvents
- Packaging waste</t>
        </is>
      </c>
      <c r="O64" s="2" t="inlineStr">
        <is>
          <t>19 Đại lộ tự do</t>
        </is>
      </c>
      <c r="P64" s="2" t="n">
        <v>75209</v>
      </c>
      <c r="Q64" s="2" t="inlineStr">
        <is>
          <t>No</t>
        </is>
      </c>
      <c r="R64" s="2" t="inlineStr">
        <is>
          <t>Yes</t>
        </is>
      </c>
      <c r="S64" s="2" t="inlineStr">
        <is>
          <t>Finneiss DB (exact)</t>
        </is>
      </c>
      <c r="T64" s="4" t="n"/>
      <c r="U64" s="4" t="n"/>
    </row>
    <row r="65" ht="18" customHeight="1" s="67">
      <c r="A65" s="5" t="n">
        <v>33</v>
      </c>
      <c r="B65" s="5" t="inlineStr">
        <is>
          <t>CÔNG TY TNHH KIAN JOO CAN (VN)</t>
        </is>
      </c>
      <c r="C65" s="5" t="inlineStr">
        <is>
          <t>Provider</t>
        </is>
      </c>
      <c r="D65" s="5" t="inlineStr">
        <is>
          <t>NON_FERROUS_METAL</t>
        </is>
      </c>
      <c r="E65" s="42" t="n">
        <v>10.927688</v>
      </c>
      <c r="F65" s="42" t="n">
        <v>106.721688</v>
      </c>
      <c r="G65" s="42" t="n">
        <v>3.1</v>
      </c>
      <c r="H65" s="42" t="n">
        <v>0.2</v>
      </c>
      <c r="I65" s="59" t="n">
        <v>5</v>
      </c>
      <c r="J65" s="5" t="n">
        <v>25920</v>
      </c>
      <c r="K65" s="5" t="inlineStr">
        <is>
          <t>Manufacture of light metal packaging</t>
        </is>
      </c>
      <c r="L65" s="5" t="n">
        <v>2592</v>
      </c>
      <c r="M65" s="5" t="inlineStr">
        <is>
          <t>Manufactures and prints tin cans for food, beverage, and paint industries.</t>
        </is>
      </c>
      <c r="N65" s="5" t="inlineStr">
        <is>
          <t>- Metal scrap
- Ink and solvent waste
- Packaging waste
- Wastewater from cleaning processes</t>
        </is>
      </c>
      <c r="O65" s="5" t="inlineStr">
        <is>
          <t>17 Đại lộ Độc lập</t>
        </is>
      </c>
      <c r="P65" s="5" t="n">
        <v>75214</v>
      </c>
      <c r="Q65" s="5" t="inlineStr">
        <is>
          <t>Yes</t>
        </is>
      </c>
      <c r="R65" s="5" t="inlineStr">
        <is>
          <t>Yes</t>
        </is>
      </c>
      <c r="S65" s="5" t="inlineStr">
        <is>
          <t>Finneiss DB (exact); VSIP1 Company Directory PDF</t>
        </is>
      </c>
      <c r="T65" s="7" t="n"/>
      <c r="U65" s="7" t="n"/>
    </row>
    <row r="66" ht="18" customHeight="1" s="67">
      <c r="A66" s="2" t="n">
        <v>73</v>
      </c>
      <c r="B66" s="2" t="inlineStr">
        <is>
          <t>CÔNG TY TNHH SOHWA SG</t>
        </is>
      </c>
      <c r="C66" s="2" t="inlineStr">
        <is>
          <t>Provider</t>
        </is>
      </c>
      <c r="D66" s="2" t="inlineStr">
        <is>
          <t>NON_FERROUS_METAL</t>
        </is>
      </c>
      <c r="E66" s="41" t="n">
        <v>10.929063</v>
      </c>
      <c r="F66" s="41" t="n">
        <v>106.719813</v>
      </c>
      <c r="G66" s="41" t="n">
        <v>2.7</v>
      </c>
      <c r="H66" s="41" t="n">
        <v>0.2</v>
      </c>
      <c r="I66" s="59" t="n">
        <v>5</v>
      </c>
      <c r="J66" s="2" t="n">
        <v>25999</v>
      </c>
      <c r="K66" s="2" t="inlineStr">
        <is>
          <t>Manufacture of other fabricated metal products n.e.c.</t>
        </is>
      </c>
      <c r="L66" s="2" t="n">
        <v>2599</v>
      </c>
      <c r="M66" s="2" t="inlineStr">
        <is>
          <t>Manufactures precision metal components and assemblies for various industries.</t>
        </is>
      </c>
      <c r="N66" s="2" t="inlineStr">
        <is>
          <t>- Metal shavings and machining waste
- Lubricant and coolant waste
- Packaging waste
- Wastewater from cleaning processes</t>
        </is>
      </c>
      <c r="O66" s="2" t="inlineStr">
        <is>
          <t>2 ĐƯỜNG 2A</t>
        </is>
      </c>
      <c r="P66" s="2" t="n">
        <v>75214</v>
      </c>
      <c r="Q66" s="2" t="inlineStr">
        <is>
          <t>No</t>
        </is>
      </c>
      <c r="R66" s="2" t="inlineStr">
        <is>
          <t>Yes</t>
        </is>
      </c>
      <c r="S66" s="2" t="inlineStr">
        <is>
          <t>Finneiss DB (exact)</t>
        </is>
      </c>
      <c r="T66" s="4" t="n"/>
      <c r="U66" s="4" t="n"/>
    </row>
    <row r="67" ht="18" customHeight="1" s="67">
      <c r="A67" s="5" t="n">
        <v>59</v>
      </c>
      <c r="B67" s="5" t="inlineStr">
        <is>
          <t>CÔNG TY TNHH HHH VN</t>
        </is>
      </c>
      <c r="C67" s="5" t="inlineStr">
        <is>
          <t>Provider</t>
        </is>
      </c>
      <c r="D67" s="5" t="inlineStr">
        <is>
          <t>NON_FERROUS_METAL</t>
        </is>
      </c>
      <c r="E67" s="42" t="n">
        <v>10.932688</v>
      </c>
      <c r="F67" s="42" t="n">
        <v>106.731313</v>
      </c>
      <c r="G67" s="42" t="n">
        <v>2.4</v>
      </c>
      <c r="H67" s="42" t="n">
        <v>0.2</v>
      </c>
      <c r="I67" s="59" t="n">
        <v>5</v>
      </c>
      <c r="J67" s="5" t="n">
        <v>25999</v>
      </c>
      <c r="K67" s="5" t="inlineStr">
        <is>
          <t>Manufacture of other fabricated metal products n.e.c.</t>
        </is>
      </c>
      <c r="L67" s="5" t="n">
        <v>2599</v>
      </c>
      <c r="M67" s="5" t="inlineStr">
        <is>
          <t>Produces various metal products and components for industrial applications.</t>
        </is>
      </c>
      <c r="N67" s="5" t="inlineStr">
        <is>
          <t>- Metal shavings
- Lubricant and coolant waste
- Packaging waste
- Wastewater from cleaning processes</t>
        </is>
      </c>
      <c r="O67" s="5" t="inlineStr">
        <is>
          <t>10 ĐƯỜNG 10</t>
        </is>
      </c>
      <c r="P67" s="5" t="n">
        <v>75209</v>
      </c>
      <c r="Q67" s="5" t="inlineStr">
        <is>
          <t>No</t>
        </is>
      </c>
      <c r="R67" s="5" t="inlineStr">
        <is>
          <t>Yes</t>
        </is>
      </c>
      <c r="S67" s="5" t="inlineStr">
        <is>
          <t>Finneiss DB (exact)</t>
        </is>
      </c>
      <c r="T67" s="7" t="n"/>
      <c r="U67" s="7" t="n"/>
    </row>
    <row r="68" ht="18" customHeight="1" s="67">
      <c r="A68" s="3" t="n">
        <v>1</v>
      </c>
      <c r="B68" s="3" t="inlineStr">
        <is>
          <t>Receiver_Plastic</t>
        </is>
      </c>
      <c r="C68" s="3" t="inlineStr">
        <is>
          <t>Receiver</t>
        </is>
      </c>
      <c r="D68" s="3" t="inlineStr">
        <is>
          <t>PLASTIC_SCRAP</t>
        </is>
      </c>
      <c r="E68" s="3" t="n">
        <v>10.935</v>
      </c>
      <c r="F68" s="3" t="n">
        <v>106.725</v>
      </c>
      <c r="G68" s="3" t="n">
        <v>30</v>
      </c>
      <c r="H68" s="3" t="n">
        <v>0.2</v>
      </c>
      <c r="J68" s="3" t="n"/>
      <c r="K68" s="3" t="n"/>
      <c r="L68" s="3" t="n"/>
      <c r="M68" s="3" t="n"/>
      <c r="N68" s="3" t="n"/>
      <c r="O68" s="3" t="n"/>
      <c r="P68" s="3" t="n"/>
      <c r="Q68" s="3" t="inlineStr">
        <is>
          <t>No</t>
        </is>
      </c>
      <c r="R68" s="3" t="inlineStr">
        <is>
          <t>No</t>
        </is>
      </c>
      <c r="S68" s="3" t="inlineStr">
        <is>
          <t>Model assumption (hypothetical demand node)</t>
        </is>
      </c>
      <c r="T68" s="4" t="n"/>
      <c r="U68" s="4" t="n"/>
    </row>
    <row r="69" ht="18" customHeight="1" s="67">
      <c r="A69" s="6" t="n">
        <v>2</v>
      </c>
      <c r="B69" s="6" t="inlineStr">
        <is>
          <t>Receiver_Paper</t>
        </is>
      </c>
      <c r="C69" s="6" t="inlineStr">
        <is>
          <t>Receiver</t>
        </is>
      </c>
      <c r="D69" s="6" t="inlineStr">
        <is>
          <t>PAPER_WASTE</t>
        </is>
      </c>
      <c r="E69" s="6" t="n">
        <v>10.932</v>
      </c>
      <c r="F69" s="6" t="n">
        <v>106.73</v>
      </c>
      <c r="G69" s="6" t="n">
        <v>15</v>
      </c>
      <c r="H69" s="6" t="n">
        <v>0.2</v>
      </c>
      <c r="J69" s="6" t="n"/>
      <c r="K69" s="6" t="n"/>
      <c r="L69" s="6" t="n"/>
      <c r="M69" s="6" t="n"/>
      <c r="N69" s="6" t="n"/>
      <c r="O69" s="6" t="n"/>
      <c r="P69" s="6" t="n"/>
      <c r="Q69" s="6" t="inlineStr">
        <is>
          <t>No</t>
        </is>
      </c>
      <c r="R69" s="6" t="inlineStr">
        <is>
          <t>No</t>
        </is>
      </c>
      <c r="S69" s="6" t="inlineStr">
        <is>
          <t>Model assumption (hypothetical demand node)</t>
        </is>
      </c>
      <c r="T69" s="7" t="n"/>
      <c r="U69" s="7" t="n"/>
    </row>
    <row r="70" ht="18" customHeight="1" s="67">
      <c r="A70" s="3" t="n">
        <v>3</v>
      </c>
      <c r="B70" s="3" t="inlineStr">
        <is>
          <t>Receiver_Ferrous</t>
        </is>
      </c>
      <c r="C70" s="3" t="inlineStr">
        <is>
          <t>Receiver</t>
        </is>
      </c>
      <c r="D70" s="3" t="inlineStr">
        <is>
          <t>FERROUS_METAL</t>
        </is>
      </c>
      <c r="E70" s="3" t="n">
        <v>10.928</v>
      </c>
      <c r="F70" s="3" t="n">
        <v>106.718</v>
      </c>
      <c r="G70" s="3" t="n">
        <v>12</v>
      </c>
      <c r="H70" s="3" t="n">
        <v>0.2</v>
      </c>
      <c r="J70" s="3" t="n"/>
      <c r="K70" s="3" t="n"/>
      <c r="L70" s="3" t="n"/>
      <c r="M70" s="3" t="n"/>
      <c r="N70" s="3" t="n"/>
      <c r="O70" s="3" t="n"/>
      <c r="P70" s="3" t="n"/>
      <c r="Q70" s="3" t="inlineStr">
        <is>
          <t>No</t>
        </is>
      </c>
      <c r="R70" s="3" t="inlineStr">
        <is>
          <t>No</t>
        </is>
      </c>
      <c r="S70" s="3" t="inlineStr">
        <is>
          <t>Model assumption (hypothetical demand node)</t>
        </is>
      </c>
      <c r="T70" s="4" t="n"/>
      <c r="U70" s="4" t="n"/>
    </row>
    <row r="71" ht="18" customHeight="1" s="67">
      <c r="A71" s="6" t="n">
        <v>4</v>
      </c>
      <c r="B71" s="6" t="inlineStr">
        <is>
          <t>Receiver_Textile</t>
        </is>
      </c>
      <c r="C71" s="6" t="inlineStr">
        <is>
          <t>Receiver</t>
        </is>
      </c>
      <c r="D71" s="6" t="inlineStr">
        <is>
          <t>TEXTILE_WASTE</t>
        </is>
      </c>
      <c r="E71" s="6" t="n">
        <v>10.933</v>
      </c>
      <c r="F71" s="6" t="n">
        <v>106.735</v>
      </c>
      <c r="G71" s="6" t="n">
        <v>10</v>
      </c>
      <c r="H71" s="6" t="n">
        <v>0.2</v>
      </c>
      <c r="J71" s="6" t="n"/>
      <c r="K71" s="6" t="n"/>
      <c r="L71" s="6" t="n"/>
      <c r="M71" s="6" t="n"/>
      <c r="N71" s="6" t="n"/>
      <c r="O71" s="6" t="n"/>
      <c r="P71" s="6" t="n"/>
      <c r="Q71" s="6" t="inlineStr">
        <is>
          <t>No</t>
        </is>
      </c>
      <c r="R71" s="6" t="inlineStr">
        <is>
          <t>No</t>
        </is>
      </c>
      <c r="S71" s="6" t="inlineStr">
        <is>
          <t>Model assumption (hypothetical demand node)</t>
        </is>
      </c>
      <c r="T71" s="7" t="n"/>
      <c r="U71" s="7" t="n"/>
    </row>
    <row r="72" ht="18" customHeight="1" s="67">
      <c r="A72" s="3" t="n">
        <v>5</v>
      </c>
      <c r="B72" s="3" t="inlineStr">
        <is>
          <t>Receiver_NonFerrous</t>
        </is>
      </c>
      <c r="C72" s="3" t="inlineStr">
        <is>
          <t>Receiver</t>
        </is>
      </c>
      <c r="D72" s="3" t="inlineStr">
        <is>
          <t>NON_FERROUS_METAL</t>
        </is>
      </c>
      <c r="E72" s="3" t="n">
        <v>10.936</v>
      </c>
      <c r="F72" s="3" t="n">
        <v>106.722</v>
      </c>
      <c r="G72" s="3" t="n">
        <v>8</v>
      </c>
      <c r="H72" s="3" t="n">
        <v>0.2</v>
      </c>
      <c r="J72" s="3" t="n"/>
      <c r="K72" s="3" t="n"/>
      <c r="L72" s="3" t="n"/>
      <c r="M72" s="3" t="n"/>
      <c r="N72" s="3" t="n"/>
      <c r="O72" s="3" t="n"/>
      <c r="P72" s="3" t="n"/>
      <c r="Q72" s="3" t="inlineStr">
        <is>
          <t>No</t>
        </is>
      </c>
      <c r="R72" s="3" t="inlineStr">
        <is>
          <t>No</t>
        </is>
      </c>
      <c r="S72" s="3" t="inlineStr">
        <is>
          <t>Model assumption (hypothetical demand node)</t>
        </is>
      </c>
      <c r="T72" s="4" t="n"/>
      <c r="U72" s="4" t="n"/>
    </row>
    <row r="73" ht="18" customHeight="1" s="67">
      <c r="A73" s="6" t="n"/>
      <c r="B73" s="6" t="inlineStr">
        <is>
          <t>VSIP1 Recycling Intermediate</t>
        </is>
      </c>
      <c r="C73" s="6" t="inlineStr">
        <is>
          <t>Intermediate</t>
        </is>
      </c>
      <c r="D73" s="6" t="inlineStr">
        <is>
          <t>ALL</t>
        </is>
      </c>
      <c r="E73" s="40" t="n">
        <v>10.93</v>
      </c>
      <c r="F73" s="40" t="n">
        <v>106.72</v>
      </c>
      <c r="G73" s="6" t="n"/>
      <c r="H73" s="6" t="n">
        <v>0.2</v>
      </c>
      <c r="J73" s="6" t="n"/>
      <c r="K73" s="6" t="n"/>
      <c r="L73" s="6" t="n"/>
      <c r="M73" s="6" t="inlineStr">
        <is>
          <t>Central recycling hub</t>
        </is>
      </c>
      <c r="N73" s="6" t="n"/>
      <c r="O73" s="6" t="n"/>
      <c r="P73" s="6" t="n"/>
      <c r="Q73" s="6" t="inlineStr">
        <is>
          <t>No</t>
        </is>
      </c>
      <c r="R73" s="6" t="inlineStr">
        <is>
          <t>No</t>
        </is>
      </c>
      <c r="S73" s="6" t="inlineStr">
        <is>
          <t>Model assumption (central hub location)</t>
        </is>
      </c>
      <c r="T73" s="7" t="n"/>
      <c r="U73" s="7" t="n"/>
    </row>
    <row r="74" ht="18" customHeight="1" s="67">
      <c r="A74" s="2" t="n"/>
      <c r="B74" s="2" t="inlineStr">
        <is>
          <t>Da Phuoc Landfill</t>
        </is>
      </c>
      <c r="C74" s="2" t="inlineStr">
        <is>
          <t>EndOfLife</t>
        </is>
      </c>
      <c r="D74" s="2" t="inlineStr">
        <is>
          <t>ALL</t>
        </is>
      </c>
      <c r="E74" s="2" t="n">
        <v>10.665415</v>
      </c>
      <c r="F74" s="2" t="n">
        <v>106.665886</v>
      </c>
      <c r="G74" s="2" t="n"/>
      <c r="H74" s="2" t="n">
        <v>0.2</v>
      </c>
      <c r="J74" s="2" t="n"/>
      <c r="K74" s="2" t="n"/>
      <c r="L74" s="2" t="n"/>
      <c r="M74" s="2" t="inlineStr">
        <is>
          <t>[SUPERSEDED — not used in CE 3.0 model] Municipal solid waste landfill. Replaced by BIWASE ETS (row 90) as the industrial waste EndOfLife agent. Da Phuoc is a municipal landfill (HCM City) and is not appropriate for industrial IS network modelling in Binh Duong.</t>
        </is>
      </c>
      <c r="N74" s="2" t="n"/>
      <c r="O74" s="2" t="inlineStr">
        <is>
          <t>Phước Hiệp, Bình Chánh, HCMC</t>
        </is>
      </c>
      <c r="P74" s="2" t="n"/>
      <c r="Q74" s="2" t="inlineStr">
        <is>
          <t>No</t>
        </is>
      </c>
      <c r="R74" s="2" t="inlineStr">
        <is>
          <t>Yes</t>
        </is>
      </c>
      <c r="S74" s="2" t="inlineStr">
        <is>
          <t>Finneiss DB (Landfills_Location); https://www.researchgate.net/publication/356037309_Research_on_appropriate_technology_solutions_for_the_treatment_of_leachate_in_Phuoc_Hiep_landfill_in_Ho_Chi_Minh_City | NOTE: Row superseded by BIWASE ETS (row 90) in CE 3.0. Da Phuoc is municipal, not industrial. See: Materials marketplace final report PDF.</t>
        </is>
      </c>
      <c r="T74" s="2" t="n">
        <v>20</v>
      </c>
      <c r="U74" s="2" t="inlineStr">
        <is>
          <t>SGD/t</t>
        </is>
      </c>
    </row>
    <row r="75" ht="18" customHeight="1" s="67">
      <c r="A75" s="7" t="n"/>
      <c r="B75" s="7" t="inlineStr">
        <is>
          <t xml:space="preserve">BIWASE ETS Waste Treatment Complex </t>
        </is>
      </c>
      <c r="C75" s="5" t="inlineStr">
        <is>
          <t>EndOfLife</t>
        </is>
      </c>
      <c r="D75" s="5" t="inlineStr">
        <is>
          <t>ALL</t>
        </is>
      </c>
      <c r="E75" s="5" t="n">
        <v>11.085</v>
      </c>
      <c r="F75" s="8" t="n">
        <v>106.59</v>
      </c>
      <c r="G75" s="7" t="n"/>
      <c r="H75" s="7" t="n">
        <v>0.2</v>
      </c>
      <c r="J75" s="7" t="n"/>
      <c r="K75" s="7" t="n"/>
      <c r="L75" s="7" t="n"/>
      <c r="M75" s="7" t="inlineStr">
        <is>
          <t>Industrial and hazardous waste treatment complex. Handles mixed industrial, chemical, and solid waste from Binh Duong province. Operations include sanitary landfilling, composting, and waste-to-energy (WtE) incineration. Designated industrial EndOfLife agent for CE 3.0 model at VSIP1.</t>
        </is>
      </c>
      <c r="N75" s="7" t="n"/>
      <c r="O75" s="9" t="inlineStr">
        <is>
          <t>No. 39, Group 8, Quarter 1B, Chanh Phu Hoa Ward, Ben Cat City, Binh Duong Province, Vietnam</t>
        </is>
      </c>
      <c r="P75" s="7" t="n"/>
      <c r="Q75" s="7" t="inlineStr">
        <is>
          <t>No</t>
        </is>
      </c>
      <c r="R75" s="7" t="inlineStr">
        <is>
          <t>No</t>
        </is>
      </c>
      <c r="S75" s="7" t="inlineStr">
        <is>
          <t>Materials marketplace final report PDF. Location confirmed: No. 39, Group 8, Quarter 1B, Chanh Phu Hoa Ward, Ben Cat City, Binh Duong Province, Vietnam. Designated industrial/hazardous waste treatment facility for Binh Duong province; replaces Da Phuoc (municipal landfill) as EndOfLife agent in CE 3.0 model.</t>
        </is>
      </c>
      <c r="T75" s="7" t="n"/>
      <c r="U75" s="7" t="n"/>
    </row>
    <row r="76" ht="18" customHeight="1" s="67"/>
    <row r="77" ht="18" customHeight="1" s="67"/>
    <row r="78" ht="18" customHeight="1" s="67"/>
    <row r="79" ht="18" customHeight="1" s="67"/>
    <row r="80" ht="18" customHeight="1" s="67"/>
    <row r="81" ht="18" customHeight="1" s="67"/>
    <row r="82" ht="18" customHeight="1" s="67"/>
    <row r="83" ht="18" customHeight="1" s="67"/>
    <row r="84" ht="18" customHeight="1" s="67"/>
    <row r="85" ht="18" customHeight="1" s="67"/>
    <row r="86" ht="18" customHeight="1" s="67"/>
    <row r="87" ht="18" customHeight="1" s="67"/>
    <row r="88" ht="25" customHeight="1" s="67"/>
    <row r="89" ht="18" customHeight="1" s="67"/>
    <row r="90" ht="18" customHeight="1" s="67"/>
    <row r="91" ht="18" customHeight="1" s="67"/>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V7"/>
  <sheetViews>
    <sheetView zoomScale="110" zoomScaleNormal="110" workbookViewId="0">
      <pane ySplit="2" topLeftCell="A3" activePane="bottomLeft" state="frozen"/>
      <selection pane="bottomLeft" activeCell="A1" sqref="A1:V1"/>
    </sheetView>
  </sheetViews>
  <sheetFormatPr baseColWidth="10" defaultColWidth="8.7265625" defaultRowHeight="14.25" customHeight="1"/>
  <cols>
    <col width="20" customWidth="1" style="67" min="1" max="1"/>
    <col width="18" customWidth="1" style="67" min="2" max="2"/>
    <col width="14.26953125" bestFit="1" customWidth="1" style="67" min="3" max="3"/>
    <col width="13.08984375" bestFit="1" customWidth="1" style="67" min="4" max="4"/>
    <col width="11.90625" bestFit="1" customWidth="1" style="67" min="5" max="5"/>
    <col width="12" customWidth="1" style="67" min="6" max="8"/>
    <col width="13.26953125" bestFit="1" customWidth="1" style="67" min="9" max="9"/>
    <col width="12" customWidth="1" style="67" min="10" max="14"/>
    <col width="21.08984375" bestFit="1" customWidth="1" style="67" min="15" max="15"/>
    <col width="25" bestFit="1" customWidth="1" style="67" min="16" max="17"/>
    <col width="19.6328125" bestFit="1" customWidth="1" style="67" min="18" max="19"/>
    <col width="93.08984375" bestFit="1" customWidth="1" style="67" min="20" max="20"/>
    <col width="50" customWidth="1" style="67" min="21" max="21"/>
    <col width="62" customWidth="1" style="67" min="22" max="22"/>
    <col width="22" customWidth="1" style="67" min="23" max="23"/>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10">
      <c r="A2" t="inlineStr">
        <is>
          <t>Material</t>
        </is>
      </c>
      <c r="B2" t="inlineStr">
        <is>
          <t>conversionEffPerMat</t>
        </is>
      </c>
      <c r="C2" t="inlineStr">
        <is>
          <t>GWPVirginPerKg</t>
        </is>
      </c>
      <c r="D2" t="inlineStr">
        <is>
          <t>GWPWasteToRecycling</t>
        </is>
      </c>
      <c r="E2" t="inlineStr">
        <is>
          <t>GWPWasteToLandfill</t>
        </is>
      </c>
      <c r="F2" t="inlineStr">
        <is>
          <t>HTPVirginPerKg</t>
        </is>
      </c>
      <c r="G2" t="inlineStr">
        <is>
          <t>HTPWasteToRecycling</t>
        </is>
      </c>
      <c r="H2" t="inlineStr">
        <is>
          <t>HTPWasteToLandfill</t>
        </is>
      </c>
      <c r="I2" t="inlineStr">
        <is>
          <t>LUPVirginPerKg</t>
        </is>
      </c>
      <c r="J2" t="inlineStr">
        <is>
          <t>LUPWasteToRecycling</t>
        </is>
      </c>
      <c r="K2" t="inlineStr">
        <is>
          <t>LUPWasteToLandfill</t>
        </is>
      </c>
      <c r="L2" t="inlineStr">
        <is>
          <t>CEDVirginPerKg</t>
        </is>
      </c>
      <c r="M2" t="inlineStr">
        <is>
          <t>CEDWasteToRecycling</t>
        </is>
      </c>
      <c r="N2" t="inlineStr">
        <is>
          <t>CEDWasteToLandfill</t>
        </is>
      </c>
      <c r="O2" t="inlineStr">
        <is>
          <t>priceVirginPerMat [SDG]</t>
        </is>
      </c>
      <c r="P2" t="inlineStr">
        <is>
          <t>priceSecondaryPerMat [SGD]</t>
        </is>
      </c>
      <c r="Q2" t="inlineStr">
        <is>
          <t>costLandfillPerMat [SGD]</t>
        </is>
      </c>
      <c r="R2" t="inlineStr">
        <is>
          <t>PriceSecondary_USD_t</t>
        </is>
      </c>
      <c r="S2" t="inlineStr">
        <is>
          <t>PriceSecondary_SGD_t</t>
        </is>
      </c>
      <c r="T2" t="inlineStr">
        <is>
          <t>PriceSecondary_Source</t>
        </is>
      </c>
      <c r="U2" t="inlineStr">
        <is>
          <t>Source / Rationale</t>
        </is>
      </c>
      <c r="V2" t="inlineStr">
        <is>
          <t>PricePaidToProvider_SGD_t</t>
        </is>
      </c>
    </row>
    <row r="3" ht="30" customHeight="1" s="67">
      <c r="A3" t="inlineStr">
        <is>
          <t>PLASTIC_SCRAP</t>
        </is>
      </c>
      <c r="B3" s="37" t="n">
        <v>0.605</v>
      </c>
      <c r="C3" s="37" t="n">
        <v>2.952</v>
      </c>
      <c r="D3" s="37" t="n">
        <v>0.709</v>
      </c>
      <c r="E3" s="37" t="n">
        <v>0.137</v>
      </c>
      <c r="F3" s="37" t="n">
        <v>0.305</v>
      </c>
      <c r="G3" s="37" t="n">
        <v>0.13</v>
      </c>
      <c r="H3" s="37" t="n">
        <v>0.006</v>
      </c>
      <c r="I3" s="37" t="n">
        <v>0.0307</v>
      </c>
      <c r="J3" s="37" t="n">
        <v>0.019</v>
      </c>
      <c r="K3" s="37" t="n">
        <v>0.00289</v>
      </c>
      <c r="L3" s="37" t="n">
        <v>78.3</v>
      </c>
      <c r="M3" s="37" t="n">
        <v>16</v>
      </c>
      <c r="N3" s="37" t="n">
        <v>0.5</v>
      </c>
      <c r="O3" s="37" t="n">
        <v>1345</v>
      </c>
      <c r="P3" s="37" t="n">
        <v>105</v>
      </c>
      <c r="Q3" s="37" t="n">
        <v>20</v>
      </c>
      <c r="R3" t="n">
        <v>750</v>
      </c>
      <c r="S3">
        <f>R3*1.35</f>
        <v/>
      </c>
      <c r="T3" t="inlineStr">
        <is>
          <t>Fastmarkets / S&amp;P Global Platts (2024): China/SE Asia R-HDPE USD 655–967/MT; proxy USD 750/t</t>
        </is>
      </c>
      <c r="U3" t="inlineStr">
        <is>
          <t>ConversionEff 60.5%: accounts for sorting rejects (~15%) and fines/contamination (~25%); proxy from ecoinvent 3.10 'market for waste plastic, sorted' + WRAP (2017). GWP/HTP/LUP/CED: ReCiPe 2016 v1.03 midpoint (H), ecoinvent 3.10; see emissionFactors sheet for full dataset. PriceVirgin 1,345 SGD/t: SE Asia HDPE market proxy (2024). RecyclingPlantCost 500k SGD: rough CAPEX for plastic sorting/washing line. PriceSecondary: see SecondaryMaterialPrices sheet. ILLUSTRATIVE.</t>
        </is>
      </c>
      <c r="V3" s="37" t="n">
        <v>-20</v>
      </c>
    </row>
    <row r="4" ht="30" customHeight="1" s="67">
      <c r="A4" t="inlineStr">
        <is>
          <t>PAPER_WASTE</t>
        </is>
      </c>
      <c r="B4" s="37" t="n">
        <v>0.825</v>
      </c>
      <c r="C4" s="37" t="n">
        <v>1.051</v>
      </c>
      <c r="D4" s="37" t="n">
        <v>1.143</v>
      </c>
      <c r="E4" s="37" t="n">
        <v>1.28</v>
      </c>
      <c r="F4" s="37" t="n">
        <v>0.971</v>
      </c>
      <c r="G4" s="37" t="n">
        <v>0.469</v>
      </c>
      <c r="H4" s="37" t="n">
        <v>0.038</v>
      </c>
      <c r="I4" s="37" t="n">
        <v>1.365</v>
      </c>
      <c r="J4" s="37" t="n">
        <v>0.283</v>
      </c>
      <c r="K4" s="37" t="n">
        <v>0.00298</v>
      </c>
      <c r="L4" s="37" t="n">
        <v>55</v>
      </c>
      <c r="M4" s="37" t="n">
        <v>12</v>
      </c>
      <c r="N4" s="37" t="n">
        <v>1.2</v>
      </c>
      <c r="O4" s="37" t="n">
        <v>950</v>
      </c>
      <c r="P4" s="37" t="n">
        <v>250</v>
      </c>
      <c r="Q4" s="37" t="n">
        <v>20</v>
      </c>
      <c r="R4" t="n">
        <v>215</v>
      </c>
      <c r="S4">
        <f>R4*1.35</f>
        <v/>
      </c>
      <c r="T4" t="inlineStr">
        <is>
          <t>Fastmarkets (2024): OCC/recycled board to SE Asia mills USD 210–225/MT; USD 215/t adopted</t>
        </is>
      </c>
      <c r="U4" t="inlineStr">
        <is>
          <t>ConversionEff 82.5%: typical OCC (Old Corrugated Cardboard) pulping recovery. Source: ecoinvent 3.10 'market for waste paper, sorted'. GWP_Recycled &gt; GWP_Virgin for paper is literature-known (energy-intensive wet pulping). PriceVirgin 950 SGD/t: virgin pulp SE Asia proxy (2024). RecyclingPlantCost 200k SGD: baling/sorting only. ILLUSTRATIVE.</t>
        </is>
      </c>
      <c r="V4" s="37" t="n">
        <v>-20</v>
      </c>
    </row>
    <row r="5" ht="30" customHeight="1" s="67">
      <c r="A5" t="inlineStr">
        <is>
          <t>FERROUS_METAL</t>
        </is>
      </c>
      <c r="B5" s="37" t="n">
        <v>0.77</v>
      </c>
      <c r="C5" s="37" t="n">
        <v>2.231</v>
      </c>
      <c r="D5" s="37" t="n">
        <v>0.063</v>
      </c>
      <c r="E5" s="37" t="n">
        <v>0.064</v>
      </c>
      <c r="F5" s="37" t="n">
        <v>0.29</v>
      </c>
      <c r="G5" s="37" t="n">
        <v>0.001</v>
      </c>
      <c r="H5" s="37" t="n">
        <v>0.0005</v>
      </c>
      <c r="I5" s="37" t="n">
        <v>0.0381</v>
      </c>
      <c r="J5" s="37" t="n">
        <v>0.000176</v>
      </c>
      <c r="K5" s="37" t="n">
        <v>0.00084</v>
      </c>
      <c r="L5" s="37" t="n">
        <v>20</v>
      </c>
      <c r="M5" s="37" t="n">
        <v>5</v>
      </c>
      <c r="N5" s="37" t="n">
        <v>0.2</v>
      </c>
      <c r="O5" s="37" t="n">
        <v>700</v>
      </c>
      <c r="P5" s="37" t="n">
        <v>450</v>
      </c>
      <c r="Q5" s="37" t="n">
        <v>20</v>
      </c>
      <c r="R5" t="n">
        <v>355</v>
      </c>
      <c r="S5">
        <f>R5*1.35</f>
        <v/>
      </c>
      <c r="T5" t="inlineStr">
        <is>
          <t>S&amp;P Global Commodity Insights (Nov 2024): Vietnam domestic scrap / HMS 1&amp;2 CFR USD 343–367/MT</t>
        </is>
      </c>
      <c r="U5" t="inlineStr">
        <is>
          <t>ConversionEff 77%: mixed ferrous scrap smelting in EAF, accounting for oxidation losses (~15%) and sorting rejects (~8%). GWP values: ecoinvent 3.10 steel recycling vs. virgin BF/BOF route. PriceVirgin 700 SGD/t: SE Asia HRC proxy. PriceSecondary negative pricePaidToProvider (Intermediate pays Provider 20 SGD/t — high-value). RecyclingPlantCost 650k SGD: scrap shredder/sorting line. ILLUSTRATIVE.</t>
        </is>
      </c>
      <c r="V5" s="37" t="n">
        <v>20</v>
      </c>
    </row>
    <row r="6" ht="30" customHeight="1" s="67">
      <c r="A6" t="inlineStr">
        <is>
          <t>TEXTILE_WASTE</t>
        </is>
      </c>
      <c r="B6" s="37" t="n">
        <v>0.55</v>
      </c>
      <c r="C6" s="37" t="n">
        <v>0.64</v>
      </c>
      <c r="D6" s="37" t="n">
        <v>0.381</v>
      </c>
      <c r="E6" s="37" t="n">
        <v>1.239</v>
      </c>
      <c r="F6" s="37" t="n">
        <v>0.523</v>
      </c>
      <c r="G6" s="37" t="n">
        <v>0.105</v>
      </c>
      <c r="H6" s="37" t="n">
        <v>0.001</v>
      </c>
      <c r="I6" s="37" t="n">
        <v>13.862</v>
      </c>
      <c r="J6" s="37" t="n">
        <v>0.012</v>
      </c>
      <c r="K6" s="37" t="n">
        <v>0.00164</v>
      </c>
      <c r="L6" s="37" t="n">
        <v>55</v>
      </c>
      <c r="M6" s="37" t="n">
        <v>12</v>
      </c>
      <c r="N6" s="37" t="n">
        <v>1.2</v>
      </c>
      <c r="O6" s="37" t="n">
        <v>2350</v>
      </c>
      <c r="P6" s="37" t="n">
        <v>4700</v>
      </c>
      <c r="Q6" s="37" t="n">
        <v>20</v>
      </c>
      <c r="R6" t="n">
        <v>200</v>
      </c>
      <c r="S6">
        <f>R6*1.35</f>
        <v/>
      </c>
      <c r="T6" t="inlineStr">
        <is>
          <t>IMARC Group (2024) Vietnam Textile Recycling Market; literature estimate USD 150–250/t; USD 200/t adopted</t>
        </is>
      </c>
      <c r="U6" t="inlineStr">
        <is>
          <t>ConversionEff 55%: mixed synthetic/natural textiles; lower than paper/metal due to blended fibers requiring mechanical shredding with high reject rate. Proxy from WRAP (2017) 'Valuing Our Clothes' textile recycling data. GWP_Landfill high (1.239) due to CH4 from anaerobic textile decomposition. PriceVirgin 2,350 SGD/t: synthetic fabric proxy. ILLUSTRATIVE.</t>
        </is>
      </c>
      <c r="V6" s="37" t="n">
        <v>-20</v>
      </c>
    </row>
    <row r="7" ht="30" customHeight="1" s="67">
      <c r="A7" t="inlineStr">
        <is>
          <t>NON_FERROUS_METAL</t>
        </is>
      </c>
      <c r="B7" s="37" t="n">
        <v>0.66</v>
      </c>
      <c r="C7" s="37" t="n">
        <v>20.927</v>
      </c>
      <c r="D7" s="37" t="n">
        <v>0.893</v>
      </c>
      <c r="E7" s="37" t="n">
        <v>0.017</v>
      </c>
      <c r="F7" s="37" t="n">
        <v>1.368</v>
      </c>
      <c r="G7" s="37" t="n">
        <v>0.951</v>
      </c>
      <c r="H7" s="37" t="n">
        <v>0.017</v>
      </c>
      <c r="I7" s="37" t="n">
        <v>0.19</v>
      </c>
      <c r="J7" s="37" t="n">
        <v>0.036</v>
      </c>
      <c r="K7" s="37" t="n">
        <v>0.00308</v>
      </c>
      <c r="L7" s="37" t="n">
        <v>200</v>
      </c>
      <c r="M7" s="37" t="n">
        <v>50</v>
      </c>
      <c r="N7" s="37" t="n">
        <v>0.5</v>
      </c>
      <c r="O7" s="37" t="n">
        <v>3200</v>
      </c>
      <c r="P7" s="37" t="n">
        <v>2500</v>
      </c>
      <c r="Q7" s="37" t="n">
        <v>20</v>
      </c>
      <c r="R7" t="n">
        <v>1750</v>
      </c>
      <c r="S7">
        <f>R7*1.35</f>
        <v/>
      </c>
      <c r="T7" t="inlineStr">
        <is>
          <t>Fastmarkets (Mar 2025): SE Asia Al scrap Borings&amp;Turnings USD 1,720–1,820/MT CIF; mid USD 1,750/t</t>
        </is>
      </c>
      <c r="U7" t="inlineStr">
        <is>
          <t>ConversionEff 66%: mixed Al/Cu/Zn non-ferrous scrap; accounts for sorting/smelting losses. GWP_Virgin 20.9 kg CO2/kg: aluminium primary smelting is extremely energy intensive (electrolysis). GWP_Recycled 0.893: secondary Al smelting (95% energy saving vs. primary). PriceVirgin 3,200 SGD/t: LME aluminium SE Asia proxy (2024). RecyclingPlantCost 450k SGD: Al/Cu sorting + smelting stub. ILLUSTRATIVE.</t>
        </is>
      </c>
      <c r="V7" s="37" t="n">
        <v>20</v>
      </c>
    </row>
  </sheetData>
  <mergeCells count="1">
    <mergeCell ref="A1:V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C9" sqref="C9"/>
    </sheetView>
  </sheetViews>
  <sheetFormatPr baseColWidth="10" defaultColWidth="8.7265625" defaultRowHeight="14.5"/>
  <cols>
    <col width="18" customWidth="1" style="67" min="1" max="1"/>
    <col width="28" customWidth="1" style="67" min="2" max="2"/>
    <col width="12" customWidth="1" style="67" min="3" max="3"/>
    <col width="14" customWidth="1" style="67" min="4" max="4"/>
    <col width="26" customWidth="1" style="67" min="5" max="5"/>
    <col width="14" customWidth="1" style="67" min="6" max="6"/>
    <col width="55" customWidth="1" style="67" min="7" max="7"/>
    <col width="30" customWidth="1" style="67" min="8" max="8"/>
  </cols>
  <sheetData>
    <row r="1" ht="40" customHeight="1" s="67">
      <c r="A1" s="47" t="inlineStr">
        <is>
          <t>⚠  DISCLAIMER — ILLUSTRATIVE VALUES ONLY: Recycling and production efficiencies are modelled estimates, not validated against VSIP1 facility data. Black font = literature/ecoinvent source; Blue font = model assumption.</t>
        </is>
      </c>
      <c r="B1" s="45" t="n"/>
      <c r="C1" s="45" t="n"/>
      <c r="D1" s="45" t="n"/>
      <c r="E1" s="45" t="n"/>
      <c r="F1" s="45" t="n"/>
      <c r="G1" s="45" t="n"/>
      <c r="H1" s="46" t="n"/>
    </row>
    <row r="2" ht="20" customHeight="1" s="67">
      <c r="A2" s="44" t="inlineStr">
        <is>
          <t>Recycling and production efficiencies by material — CE 3.0 model parameters</t>
        </is>
      </c>
      <c r="B2" s="45" t="n"/>
      <c r="C2" s="45" t="n"/>
      <c r="D2" s="45" t="n"/>
      <c r="E2" s="45" t="n"/>
      <c r="F2" s="45" t="n"/>
      <c r="G2" s="45" t="n"/>
      <c r="H2" s="46" t="n"/>
    </row>
    <row r="3">
      <c r="A3" s="33" t="inlineStr">
        <is>
          <t>NEA Waste Type</t>
        </is>
      </c>
      <c r="B3" s="33" t="inlineStr">
        <is>
          <t>Parameter</t>
        </is>
      </c>
      <c r="C3" s="33" t="inlineStr">
        <is>
          <t>Value</t>
        </is>
      </c>
      <c r="D3" s="33" t="inlineStr">
        <is>
          <t>Unit</t>
        </is>
      </c>
      <c r="E3" s="33" t="inlineStr">
        <is>
          <t>AnyLogic Variable</t>
        </is>
      </c>
      <c r="F3" s="33" t="inlineStr">
        <is>
          <t>Agent</t>
        </is>
      </c>
      <c r="G3" s="33" t="inlineStr">
        <is>
          <t>Source / Rationale</t>
        </is>
      </c>
      <c r="H3" s="33" t="inlineStr">
        <is>
          <t>Comment</t>
        </is>
      </c>
    </row>
    <row r="4" ht="30" customHeight="1" s="67">
      <c r="A4" s="35" t="inlineStr">
        <is>
          <t>PLASTIC_SCRAP</t>
        </is>
      </c>
      <c r="B4" s="35" t="inlineStr">
        <is>
          <t>Conversion Efficiency (Recycling)</t>
        </is>
      </c>
      <c r="C4" s="35" t="n">
        <v>0.605</v>
      </c>
      <c r="D4" s="35" t="inlineStr">
        <is>
          <t>fraction</t>
        </is>
      </c>
      <c r="E4" s="35" t="inlineStr">
        <is>
          <t>conversionEffPerMat[0]</t>
        </is>
      </c>
      <c r="F4" s="35" t="inlineStr">
        <is>
          <t>Intermediate</t>
        </is>
      </c>
      <c r="G4" s="35" t="inlineStr">
        <is>
          <t>ecoinvent 3.10 'market for waste plastic, sorted' + WRAP (2017): ~15% sorting rejects + ~25% fines/contamination → net 60.5% recovery.</t>
        </is>
      </c>
      <c r="H4" s="35" t="inlineStr">
        <is>
          <t>Applied at Intermediate in recyclingProcessing(). Input: raw waste tonnes. Output: secondary material = input × efficiency.</t>
        </is>
      </c>
    </row>
    <row r="5" ht="30" customHeight="1" s="67">
      <c r="A5" s="34" t="inlineStr">
        <is>
          <t>PLASTIC_SCRAP</t>
        </is>
      </c>
      <c r="B5" s="34" t="inlineStr">
        <is>
          <t>processingEfficiency (PLASTIC_SCRAP)</t>
        </is>
      </c>
      <c r="C5" s="38" t="n">
        <v>0.98</v>
      </c>
      <c r="D5" s="34" t="inlineStr">
        <is>
          <t>fraction</t>
        </is>
      </c>
      <c r="E5" s="34" t="inlineStr">
        <is>
          <t>processingEffPerMat[0]</t>
        </is>
      </c>
      <c r="F5" s="34" t="inlineStr">
        <is>
          <t>Receiver</t>
        </is>
      </c>
      <c r="G5" s="36" t="inlineStr">
        <is>
          <t>Model assumption: high-purity HDPE pellet moulding with 2% scrap loss. Not separately implemented — embedded in demand calculation.</t>
        </is>
      </c>
      <c r="H5" s="36" t="inlineStr">
        <is>
          <t>Receiver processing residue ≈ 2% of throughput. Residue returned to Intermediate via acceptResidue().</t>
        </is>
      </c>
    </row>
    <row r="6" ht="30" customHeight="1" s="67">
      <c r="A6" s="35" t="inlineStr">
        <is>
          <t>PAPER_WASTE</t>
        </is>
      </c>
      <c r="B6" s="35" t="inlineStr">
        <is>
          <t>Conversion Efficiency (Recycling)</t>
        </is>
      </c>
      <c r="C6" s="35" t="n">
        <v>0.825</v>
      </c>
      <c r="D6" s="35" t="inlineStr">
        <is>
          <t>fraction</t>
        </is>
      </c>
      <c r="E6" s="35" t="inlineStr">
        <is>
          <t>conversionEffPerMat[1]</t>
        </is>
      </c>
      <c r="F6" s="35" t="inlineStr">
        <is>
          <t>Intermediate</t>
        </is>
      </c>
      <c r="G6" s="35" t="inlineStr">
        <is>
          <t>ecoinvent 3.10 'market for waste paper, sorted': typical OCC pulping recovery 80–85%. 82.5% adopted as midpoint.</t>
        </is>
      </c>
      <c r="H6" s="35" t="inlineStr">
        <is>
          <t>GWP_Recycled &gt; GWP_Virgin for paper (energy-intensive wet pulping); still environmentally preferable at system level.</t>
        </is>
      </c>
    </row>
    <row r="7" ht="30" customHeight="1" s="67">
      <c r="A7" s="34" t="inlineStr">
        <is>
          <t>PAPER_WASTE</t>
        </is>
      </c>
      <c r="B7" s="34" t="inlineStr">
        <is>
          <t>processingEfficiency (PAPER_WASTE)</t>
        </is>
      </c>
      <c r="C7" s="38" t="n">
        <v>0.95</v>
      </c>
      <c r="D7" s="34" t="inlineStr">
        <is>
          <t>fraction</t>
        </is>
      </c>
      <c r="E7" s="34" t="inlineStr">
        <is>
          <t>processingEffPerMat[1]</t>
        </is>
      </c>
      <c r="F7" s="34" t="inlineStr">
        <is>
          <t>Receiver</t>
        </is>
      </c>
      <c r="G7" s="36" t="inlineStr">
        <is>
          <t>Model assumption: paper/board production with 5% trim and reject loss. Literature proxy.</t>
        </is>
      </c>
      <c r="H7" s="36" t="inlineStr">
        <is>
          <t>Residue ≈ 5% of throughput. Returned to Intermediate if space available.</t>
        </is>
      </c>
    </row>
    <row r="8" ht="30" customHeight="1" s="67">
      <c r="A8" s="35" t="inlineStr">
        <is>
          <t>FERROUS_METAL</t>
        </is>
      </c>
      <c r="B8" s="35" t="inlineStr">
        <is>
          <t>Conversion Efficiency (Recycling)</t>
        </is>
      </c>
      <c r="C8" s="35" t="n">
        <v>0.77</v>
      </c>
      <c r="D8" s="35" t="inlineStr">
        <is>
          <t>fraction</t>
        </is>
      </c>
      <c r="E8" s="35" t="inlineStr">
        <is>
          <t>conversionEffPerMat[2]</t>
        </is>
      </c>
      <c r="F8" s="35" t="inlineStr">
        <is>
          <t>Intermediate</t>
        </is>
      </c>
      <c r="G8" s="35" t="inlineStr">
        <is>
          <t>Mixed ferrous scrap smelting in EAF: ~15% oxidation losses + ~8% sorting rejects = 77% net recovery. Proxy from ecoinvent 3.10 steel recycling pathway.</t>
        </is>
      </c>
      <c r="H8" s="35" t="inlineStr">
        <is>
          <t>EAF = Electric Arc Furnace. Accounts for slag, scale, and fines losses.</t>
        </is>
      </c>
    </row>
    <row r="9" ht="30" customHeight="1" s="67">
      <c r="A9" s="34" t="inlineStr">
        <is>
          <t>FERROUS_METAL</t>
        </is>
      </c>
      <c r="B9" s="34" t="inlineStr">
        <is>
          <t>processingEfficiency (FERROUS_METAL)</t>
        </is>
      </c>
      <c r="C9" s="38" t="n">
        <v>0.97</v>
      </c>
      <c r="D9" s="34" t="inlineStr">
        <is>
          <t>fraction</t>
        </is>
      </c>
      <c r="E9" s="34" t="inlineStr">
        <is>
          <t>processingEffPerMat[2]</t>
        </is>
      </c>
      <c r="F9" s="34" t="inlineStr">
        <is>
          <t>Receiver</t>
        </is>
      </c>
      <c r="G9" s="36" t="inlineStr">
        <is>
          <t>Model assumption: fabrication/machining with ~3% metal scrap loss. Generic manufacturing proxy.</t>
        </is>
      </c>
      <c r="H9" s="36" t="inlineStr">
        <is>
          <t>Ferrous metal residue (chips/turnings) returned to Intermediate for re-entry into IS loop.</t>
        </is>
      </c>
    </row>
    <row r="10" ht="30" customHeight="1" s="67">
      <c r="A10" s="35" t="inlineStr">
        <is>
          <t>TEXTILE_WASTE</t>
        </is>
      </c>
      <c r="B10" s="35" t="inlineStr">
        <is>
          <t>Conversion Efficiency (Recycling)</t>
        </is>
      </c>
      <c r="C10" s="35" t="n">
        <v>0.55</v>
      </c>
      <c r="D10" s="35" t="inlineStr">
        <is>
          <t>fraction</t>
        </is>
      </c>
      <c r="E10" s="35" t="inlineStr">
        <is>
          <t>conversionEffPerMat[3]</t>
        </is>
      </c>
      <c r="F10" s="35" t="inlineStr">
        <is>
          <t>Intermediate</t>
        </is>
      </c>
      <c r="G10" s="35" t="inlineStr">
        <is>
          <t>WRAP (2017) 'Valuing Our Clothes': mixed synthetic/natural textile recycling 50–60% net recovery due to blended fibre separation losses. 55% adopted.</t>
        </is>
      </c>
      <c r="H10" s="35" t="inlineStr">
        <is>
          <t>Blended fibre sorting is technically challenging; higher contamination than paper or metal.</t>
        </is>
      </c>
    </row>
    <row r="11" ht="30" customHeight="1" s="67">
      <c r="A11" s="34" t="inlineStr">
        <is>
          <t>TEXTILE_WASTE</t>
        </is>
      </c>
      <c r="B11" s="34" t="inlineStr">
        <is>
          <t>processingEfficiency (TEXTILE_WASTE)</t>
        </is>
      </c>
      <c r="C11" s="38" t="n">
        <v>0.93</v>
      </c>
      <c r="D11" s="34" t="inlineStr">
        <is>
          <t>fraction</t>
        </is>
      </c>
      <c r="E11" s="34" t="inlineStr">
        <is>
          <t>processingEffPerMat[3]</t>
        </is>
      </c>
      <c r="F11" s="34" t="inlineStr">
        <is>
          <t>Receiver</t>
        </is>
      </c>
      <c r="G11" s="36" t="inlineStr">
        <is>
          <t>Model assumption: garment cutting waste ~7% of fabric input (industry average). Proxy from Ellen MacArthur Foundation (2017).</t>
        </is>
      </c>
      <c r="H11" s="36" t="inlineStr">
        <is>
          <t>Textile cutting residue returned to Intermediate for potential re-recycling.</t>
        </is>
      </c>
    </row>
    <row r="12" ht="30" customHeight="1" s="67">
      <c r="A12" s="35" t="inlineStr">
        <is>
          <t>NON_FERROUS_METAL</t>
        </is>
      </c>
      <c r="B12" s="35" t="inlineStr">
        <is>
          <t>Conversion Efficiency (Recycling)</t>
        </is>
      </c>
      <c r="C12" s="35" t="n">
        <v>0.66</v>
      </c>
      <c r="D12" s="35" t="inlineStr">
        <is>
          <t>fraction</t>
        </is>
      </c>
      <c r="E12" s="35" t="inlineStr">
        <is>
          <t>conversionEffPerMat[4]</t>
        </is>
      </c>
      <c r="F12" s="35" t="inlineStr">
        <is>
          <t>Intermediate</t>
        </is>
      </c>
      <c r="G12" s="35" t="inlineStr">
        <is>
          <t>Mixed Al/Cu/Zn non-ferrous scrap: sorting and smelting losses ~34%. ecoinvent 3.10 secondary aluminium pathway (Al dominates non-ferrous stream at VSIP1).</t>
        </is>
      </c>
      <c r="H12" s="35" t="inlineStr">
        <is>
          <t>Non-ferrous includes Cu and Zn; Al dominates. 66% reflects mixed-alloy remelting losses.</t>
        </is>
      </c>
    </row>
    <row r="13" ht="30" customHeight="1" s="67">
      <c r="A13" s="34" t="inlineStr">
        <is>
          <t>NON_FERROUS_METAL</t>
        </is>
      </c>
      <c r="B13" s="34" t="inlineStr">
        <is>
          <t>processingEfficiency (NON_FERROUS_METAL)</t>
        </is>
      </c>
      <c r="C13" s="38" t="n">
        <v>0.96</v>
      </c>
      <c r="D13" s="34" t="inlineStr">
        <is>
          <t>fraction</t>
        </is>
      </c>
      <c r="E13" s="34" t="inlineStr">
        <is>
          <t>processingEffPerMat[4]</t>
        </is>
      </c>
      <c r="F13" s="34" t="inlineStr">
        <is>
          <t>Receiver</t>
        </is>
      </c>
      <c r="G13" s="36" t="inlineStr">
        <is>
          <t>Model assumption: precision machining of non-ferrous metals with ~4% swarf/chips loss. Generic proxy.</t>
        </is>
      </c>
      <c r="H13" s="36" t="inlineStr">
        <is>
          <t>High-value metal residue; returned to Intermediate. Intermediate pays Provider for this stream.</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zoomScale="70" zoomScaleNormal="70" workbookViewId="0">
      <pane ySplit="2" topLeftCell="A3" activePane="bottomLeft" state="frozen"/>
      <selection pane="bottomLeft" activeCell="C23" sqref="C23"/>
    </sheetView>
  </sheetViews>
  <sheetFormatPr baseColWidth="10" defaultColWidth="10.6328125" defaultRowHeight="14.25" customHeight="1"/>
  <cols>
    <col width="16" customWidth="1" style="67" min="1" max="2"/>
    <col width="22" customWidth="1" style="67" min="3" max="3"/>
    <col width="44" customWidth="1" style="67" min="4" max="4"/>
    <col width="18" customWidth="1" style="67" min="5" max="5"/>
    <col width="9" customWidth="1" style="67" min="6" max="6"/>
    <col width="7" customWidth="1" style="67" min="7" max="7"/>
    <col width="18" customWidth="1" style="67" min="8" max="8"/>
    <col width="9" customWidth="1" style="67" min="9" max="9"/>
    <col width="7" customWidth="1" style="67" min="10" max="10"/>
    <col width="18" customWidth="1" style="67" min="11" max="11"/>
    <col width="9" customWidth="1" style="67" min="12" max="12"/>
    <col width="7" customWidth="1" style="67" min="13" max="13"/>
    <col width="10" customWidth="1" style="67" min="14" max="14"/>
    <col width="9" customWidth="1" style="67" min="15" max="15"/>
    <col width="14" customWidth="1" style="67" min="16" max="16"/>
    <col width="7" customWidth="1" style="67" min="17" max="17"/>
    <col width="40" customWidth="1" style="67" min="18" max="18"/>
    <col width="25" customWidth="1" style="67" min="19" max="19"/>
  </cols>
  <sheetData>
    <row r="1" ht="30" customHeight="1" s="67">
      <c r="A1" s="52" t="inlineStr">
        <is>
          <t>Emission and cost factors:</t>
        </is>
      </c>
      <c r="B1" s="53" t="n"/>
      <c r="C1" s="52" t="n"/>
      <c r="D1" s="52" t="n"/>
      <c r="E1" s="52" t="inlineStr">
        <is>
          <t>ReCiPe 2016 v1.03, midpoint (H) no LT global warming potential (GWP100)</t>
        </is>
      </c>
      <c r="F1" s="52" t="n"/>
      <c r="G1" s="52" t="n"/>
      <c r="H1" s="52" t="inlineStr">
        <is>
          <t xml:space="preserve">ReCiPe 2016 v1.03, midpoint (H) no LT human toxicity potential (HTPnc) </t>
        </is>
      </c>
      <c r="I1" s="52" t="n"/>
      <c r="J1" s="52" t="n"/>
      <c r="K1" s="52" t="inlineStr">
        <is>
          <t xml:space="preserve">ReCiPe 2016 v1.03, midpoint (H) no LT agricultural land occupation (LOP) </t>
        </is>
      </c>
      <c r="L1" s="52" t="n"/>
      <c r="M1" s="52" t="n"/>
      <c r="N1" s="52" t="n"/>
      <c r="O1" s="52" t="n"/>
      <c r="P1" s="52" t="n"/>
      <c r="Q1" s="52" t="n"/>
      <c r="R1" s="52" t="n"/>
      <c r="S1" s="52" t="n"/>
    </row>
    <row r="2" ht="21.75" customHeight="1" s="67">
      <c r="A2" s="1" t="inlineStr">
        <is>
          <t>NEA waste type</t>
        </is>
      </c>
      <c r="B2" s="1" t="inlineStr">
        <is>
          <t>Pathway</t>
        </is>
      </c>
      <c r="C2" s="1" t="inlineStr">
        <is>
          <t>Product</t>
        </is>
      </c>
      <c r="D2" s="1" t="inlineStr">
        <is>
          <t>Activity name / related processes</t>
        </is>
      </c>
      <c r="E2" s="1" t="inlineStr">
        <is>
          <t>EF [kg CO2-eq/unit]</t>
        </is>
      </c>
      <c r="F2" s="1" t="inlineStr">
        <is>
          <t>Unit</t>
        </is>
      </c>
      <c r="G2" s="1" t="inlineStr">
        <is>
          <t>Location</t>
        </is>
      </c>
      <c r="H2" s="1" t="inlineStr">
        <is>
          <t>HT [kg 1,4-DCB-eq/unit]</t>
        </is>
      </c>
      <c r="I2" s="1" t="inlineStr">
        <is>
          <t>Unit</t>
        </is>
      </c>
      <c r="J2" s="1" t="inlineStr">
        <is>
          <t>Location</t>
        </is>
      </c>
      <c r="K2" s="1" t="inlineStr">
        <is>
          <t>LU [m2*a crop-eq/unit]</t>
        </is>
      </c>
      <c r="L2" s="1" t="inlineStr">
        <is>
          <t>Unit</t>
        </is>
      </c>
      <c r="M2" s="1" t="inlineStr">
        <is>
          <t>Location</t>
        </is>
      </c>
      <c r="N2" s="1" t="inlineStr">
        <is>
          <t>Cost</t>
        </is>
      </c>
      <c r="O2" s="1" t="inlineStr">
        <is>
          <t>Unit</t>
        </is>
      </c>
      <c r="P2" s="1" t="inlineStr">
        <is>
          <t xml:space="preserve">Cost recycling plant </t>
        </is>
      </c>
      <c r="Q2" s="1" t="inlineStr">
        <is>
          <t>Unit</t>
        </is>
      </c>
      <c r="R2" s="1" t="inlineStr">
        <is>
          <t>Source</t>
        </is>
      </c>
      <c r="S2" s="1" t="inlineStr">
        <is>
          <t>Comment</t>
        </is>
      </c>
    </row>
    <row r="3" ht="21.75" customHeight="1" s="67">
      <c r="A3" s="51" t="inlineStr">
        <is>
          <t>-</t>
        </is>
      </c>
      <c r="B3" s="51" t="inlineStr">
        <is>
          <t>Transportation</t>
        </is>
      </c>
      <c r="C3" s="51" t="inlineStr">
        <is>
          <t>Transport by truck</t>
        </is>
      </c>
      <c r="D3" s="51" t="inlineStr">
        <is>
          <t>transport, freight, lorry 16-32 metric ton, diesel, EURO5</t>
        </is>
      </c>
      <c r="E3" s="51">
        <f>0.206378099071191/1000</f>
        <v/>
      </c>
      <c r="F3" s="51" t="inlineStr">
        <is>
          <t>kg*km</t>
        </is>
      </c>
      <c r="G3" s="51" t="inlineStr">
        <is>
          <t>RoW</t>
        </is>
      </c>
      <c r="H3" s="51">
        <f>0.0495086992688564/1000</f>
        <v/>
      </c>
      <c r="I3" s="51" t="inlineStr">
        <is>
          <t>t*km</t>
        </is>
      </c>
      <c r="J3" s="51" t="inlineStr">
        <is>
          <t>RoW</t>
        </is>
      </c>
      <c r="K3" s="51">
        <f>0.00742244066841271/1000</f>
        <v/>
      </c>
      <c r="L3" s="51" t="inlineStr">
        <is>
          <t>t*km</t>
        </is>
      </c>
      <c r="M3" s="51" t="inlineStr">
        <is>
          <t>RoW</t>
        </is>
      </c>
      <c r="N3" s="51" t="n">
        <v>0.1</v>
      </c>
      <c r="O3" s="51" t="inlineStr">
        <is>
          <t>SGD/t*km</t>
        </is>
      </c>
      <c r="P3" s="51" t="inlineStr">
        <is>
          <t>-</t>
        </is>
      </c>
      <c r="Q3" s="51" t="inlineStr">
        <is>
          <t>-</t>
        </is>
      </c>
      <c r="R3" s="51" t="inlineStr">
        <is>
          <t>Worldbank (2019)</t>
        </is>
      </c>
      <c r="S3" s="51" t="inlineStr">
        <is>
          <t>-</t>
        </is>
      </c>
    </row>
    <row r="4" ht="21.75" customHeight="1" s="67">
      <c r="A4" s="49" t="n"/>
      <c r="B4" s="49" t="n"/>
      <c r="C4" s="48" t="inlineStr">
        <is>
          <t>Transport by sea</t>
        </is>
      </c>
      <c r="D4" s="48" t="inlineStr">
        <is>
          <t>market for transport, freight, sea, container ship</t>
        </is>
      </c>
      <c r="E4" s="48">
        <f>0.010248512/1000</f>
        <v/>
      </c>
      <c r="F4" s="48" t="inlineStr">
        <is>
          <t>kg*km</t>
        </is>
      </c>
      <c r="G4" s="48" t="inlineStr">
        <is>
          <t>GLO</t>
        </is>
      </c>
      <c r="H4" s="48">
        <f>0.010248512/1000</f>
        <v/>
      </c>
      <c r="I4" s="48" t="inlineStr">
        <is>
          <t>kg*km</t>
        </is>
      </c>
      <c r="J4" s="48" t="inlineStr">
        <is>
          <t>GLO</t>
        </is>
      </c>
      <c r="K4" s="48">
        <f>0.010248512/1000</f>
        <v/>
      </c>
      <c r="L4" s="48" t="inlineStr">
        <is>
          <t>kg*km</t>
        </is>
      </c>
      <c r="M4" s="48" t="inlineStr">
        <is>
          <t>GLO</t>
        </is>
      </c>
      <c r="N4" s="48" t="n"/>
      <c r="O4" s="48" t="n"/>
      <c r="P4" s="18" t="n"/>
      <c r="Q4" s="48" t="n"/>
      <c r="R4" s="48" t="inlineStr">
        <is>
          <t>[1]</t>
        </is>
      </c>
      <c r="S4" s="48" t="inlineStr">
        <is>
          <t>-</t>
        </is>
      </c>
    </row>
    <row r="5" ht="21.75" customHeight="1" s="67">
      <c r="A5" s="50" t="n"/>
      <c r="B5" s="50" t="n"/>
      <c r="C5" s="51" t="inlineStr">
        <is>
          <t>Transport by barge</t>
        </is>
      </c>
      <c r="D5" s="51" t="inlineStr">
        <is>
          <t>transport, freight, inland waterways, barge</t>
        </is>
      </c>
      <c r="E5" s="51" t="n">
        <v>5.1968599e-05</v>
      </c>
      <c r="F5" s="51" t="inlineStr">
        <is>
          <t>kg*km</t>
        </is>
      </c>
      <c r="G5" s="51" t="inlineStr">
        <is>
          <t>RoW</t>
        </is>
      </c>
      <c r="H5" s="51" t="n">
        <v>5.1968599e-05</v>
      </c>
      <c r="I5" s="51" t="inlineStr">
        <is>
          <t>kg*km</t>
        </is>
      </c>
      <c r="J5" s="51" t="inlineStr">
        <is>
          <t>RoW</t>
        </is>
      </c>
      <c r="K5" s="51" t="n">
        <v>5.1968599e-05</v>
      </c>
      <c r="L5" s="51" t="inlineStr">
        <is>
          <t>kg*km</t>
        </is>
      </c>
      <c r="M5" s="51" t="inlineStr">
        <is>
          <t>RoW</t>
        </is>
      </c>
      <c r="N5" s="51" t="n"/>
      <c r="O5" s="51" t="n"/>
      <c r="P5" s="51" t="n"/>
      <c r="Q5" s="51" t="n"/>
      <c r="R5" s="51" t="inlineStr">
        <is>
          <t>[1]</t>
        </is>
      </c>
      <c r="S5" s="51" t="inlineStr">
        <is>
          <t>-</t>
        </is>
      </c>
    </row>
    <row r="6" ht="21.75" customHeight="1" s="67">
      <c r="A6" s="48" t="inlineStr">
        <is>
          <t>Ferrous Metal</t>
        </is>
      </c>
      <c r="B6" s="48" t="inlineStr">
        <is>
          <t>Recycling</t>
        </is>
      </c>
      <c r="C6" s="48" t="inlineStr">
        <is>
          <t>Reinforcement steel</t>
        </is>
      </c>
      <c r="D6" s="48" t="inlineStr">
        <is>
          <t>treatment of waste reinforcement steel, recycling</t>
        </is>
      </c>
      <c r="E6" s="48" t="n">
        <v>0.0626794487258778</v>
      </c>
      <c r="F6" s="48" t="inlineStr">
        <is>
          <t>kg</t>
        </is>
      </c>
      <c r="G6" s="48" t="inlineStr">
        <is>
          <t>RoW</t>
        </is>
      </c>
      <c r="H6" s="48" t="n">
        <v>0.00143134241669023</v>
      </c>
      <c r="I6" s="48" t="inlineStr">
        <is>
          <t>kg</t>
        </is>
      </c>
      <c r="J6" s="48" t="inlineStr">
        <is>
          <t>RoW</t>
        </is>
      </c>
      <c r="K6" s="48" t="n">
        <v>0.000176295182195663</v>
      </c>
      <c r="L6" s="48" t="inlineStr">
        <is>
          <t>kg</t>
        </is>
      </c>
      <c r="M6" s="48" t="inlineStr">
        <is>
          <t>RoW</t>
        </is>
      </c>
      <c r="N6" s="48">
        <f>450</f>
        <v/>
      </c>
      <c r="O6" s="48" t="inlineStr">
        <is>
          <t>SGD/t</t>
        </is>
      </c>
      <c r="P6" s="18" t="n">
        <v>650000</v>
      </c>
      <c r="Q6" s="48" t="inlineStr">
        <is>
          <t>SGD</t>
        </is>
      </c>
      <c r="R6" s="48" t="inlineStr">
        <is>
          <t>Kallanish Commodities (2025); Finmodelslab (2025)</t>
        </is>
      </c>
      <c r="S6" s="48" t="inlineStr">
        <is>
          <t>-</t>
        </is>
      </c>
    </row>
    <row r="7" ht="21.75" customHeight="1" s="67">
      <c r="A7" s="49" t="n"/>
      <c r="B7" s="51" t="inlineStr">
        <is>
          <t>Virgin production</t>
        </is>
      </c>
      <c r="C7" s="51" t="inlineStr">
        <is>
          <t>Reinforcement steel</t>
        </is>
      </c>
      <c r="D7" s="51" t="inlineStr">
        <is>
          <t>reinforcing steel production</t>
        </is>
      </c>
      <c r="E7" s="51" t="n">
        <v>2.23091817476524</v>
      </c>
      <c r="F7" s="51" t="inlineStr">
        <is>
          <t>kg</t>
        </is>
      </c>
      <c r="G7" s="51" t="inlineStr">
        <is>
          <t>RoW</t>
        </is>
      </c>
      <c r="H7" s="51" t="n">
        <v>0.290156978695407</v>
      </c>
      <c r="I7" s="51" t="inlineStr">
        <is>
          <t>kg</t>
        </is>
      </c>
      <c r="J7" s="51" t="inlineStr">
        <is>
          <t>RoW</t>
        </is>
      </c>
      <c r="K7" s="51" t="n">
        <v>0.0380575327018262</v>
      </c>
      <c r="L7" s="51" t="inlineStr">
        <is>
          <t>kg</t>
        </is>
      </c>
      <c r="M7" s="51" t="inlineStr">
        <is>
          <t>RoW</t>
        </is>
      </c>
      <c r="N7" s="51">
        <f>700</f>
        <v/>
      </c>
      <c r="O7" s="51" t="inlineStr">
        <is>
          <t>SGD/t</t>
        </is>
      </c>
      <c r="P7" s="51" t="inlineStr">
        <is>
          <t>-</t>
        </is>
      </c>
      <c r="Q7" s="51" t="inlineStr">
        <is>
          <t>-</t>
        </is>
      </c>
      <c r="R7" s="51" t="inlineStr">
        <is>
          <t>MEPS International (2025)</t>
        </is>
      </c>
      <c r="S7" s="51" t="inlineStr">
        <is>
          <t>-</t>
        </is>
      </c>
    </row>
    <row r="8" ht="21.75" customHeight="1" s="67">
      <c r="A8" s="50" t="n"/>
      <c r="B8" s="48" t="inlineStr">
        <is>
          <t>Landfill</t>
        </is>
      </c>
      <c r="C8" s="48" t="inlineStr">
        <is>
          <t>Waste steel</t>
        </is>
      </c>
      <c r="D8" s="48" t="inlineStr">
        <is>
          <t>treatment of waste steel, inert material landfill</t>
        </is>
      </c>
      <c r="E8" s="48" t="n">
        <v>0.0641897612040538</v>
      </c>
      <c r="F8" s="48" t="inlineStr">
        <is>
          <t>kg</t>
        </is>
      </c>
      <c r="G8" s="48" t="inlineStr">
        <is>
          <t>RoW</t>
        </is>
      </c>
      <c r="H8" s="48" t="n">
        <v>0.000454565476053451</v>
      </c>
      <c r="I8" s="48" t="inlineStr">
        <is>
          <t>kg</t>
        </is>
      </c>
      <c r="J8" s="48" t="inlineStr">
        <is>
          <t>RoW</t>
        </is>
      </c>
      <c r="K8" s="48" t="n">
        <v>0.000841861202009278</v>
      </c>
      <c r="L8" s="48" t="inlineStr">
        <is>
          <t>kg</t>
        </is>
      </c>
      <c r="M8" s="48" t="inlineStr">
        <is>
          <t>RoW</t>
        </is>
      </c>
      <c r="N8" s="48" t="n">
        <v>20</v>
      </c>
      <c r="O8" s="48" t="inlineStr">
        <is>
          <t>SGD/t</t>
        </is>
      </c>
      <c r="P8" s="48" t="inlineStr">
        <is>
          <t>-</t>
        </is>
      </c>
      <c r="Q8" s="48" t="inlineStr">
        <is>
          <t>-</t>
        </is>
      </c>
      <c r="R8" s="48" t="inlineStr">
        <is>
          <t>Vietnam Business Council for Sustainable Development (2019)</t>
        </is>
      </c>
      <c r="S8" s="48" t="n"/>
    </row>
    <row r="9" ht="21.75" customHeight="1" s="67">
      <c r="A9" s="51" t="inlineStr">
        <is>
          <t>Non-ferrous metal</t>
        </is>
      </c>
      <c r="B9" s="51" t="inlineStr">
        <is>
          <t>Recycling</t>
        </is>
      </c>
      <c r="C9" s="51" t="inlineStr">
        <is>
          <t>Aluminium, cast alloy</t>
        </is>
      </c>
      <c r="D9" s="51" t="inlineStr">
        <is>
          <t>treatment of aluminium scrap, post-consumer, prepared for recycling, at refiner</t>
        </is>
      </c>
      <c r="E9" s="51" t="n">
        <v>0.893284743938489</v>
      </c>
      <c r="F9" s="51" t="inlineStr">
        <is>
          <t>kg</t>
        </is>
      </c>
      <c r="G9" s="51" t="inlineStr">
        <is>
          <t>RoW</t>
        </is>
      </c>
      <c r="H9" s="51" t="n">
        <v>0.950995072172902</v>
      </c>
      <c r="I9" s="51" t="inlineStr">
        <is>
          <t>kg</t>
        </is>
      </c>
      <c r="J9" s="51" t="inlineStr">
        <is>
          <t>RoW</t>
        </is>
      </c>
      <c r="K9" s="51" t="n">
        <v>0.0361322882372964</v>
      </c>
      <c r="L9" s="51" t="inlineStr">
        <is>
          <t>kg</t>
        </is>
      </c>
      <c r="M9" s="51" t="inlineStr">
        <is>
          <t>RoW</t>
        </is>
      </c>
      <c r="N9" s="51">
        <f>2500</f>
        <v/>
      </c>
      <c r="O9" s="51" t="inlineStr">
        <is>
          <t>SGD/t</t>
        </is>
      </c>
      <c r="P9" s="19" t="n">
        <v>350000</v>
      </c>
      <c r="Q9" s="51" t="inlineStr">
        <is>
          <t>SGD</t>
        </is>
      </c>
      <c r="R9" s="51" t="inlineStr">
        <is>
          <t>Chew (2025); Samadhan (n.d.)</t>
        </is>
      </c>
      <c r="S9" s="51" t="inlineStr">
        <is>
          <t>-</t>
        </is>
      </c>
    </row>
    <row r="10" ht="21.75" customHeight="1" s="67">
      <c r="A10" s="49" t="n"/>
      <c r="B10" s="48" t="inlineStr">
        <is>
          <t>Virgin production</t>
        </is>
      </c>
      <c r="C10" s="48" t="inlineStr">
        <is>
          <t>Aluminium, cast alloy</t>
        </is>
      </c>
      <c r="D10" s="48" t="inlineStr">
        <is>
          <t>aluminium production, primary, cast alloy slab from continuous casting</t>
        </is>
      </c>
      <c r="E10" s="48" t="n">
        <v>20.9268424240263</v>
      </c>
      <c r="F10" s="48" t="inlineStr">
        <is>
          <t>kg</t>
        </is>
      </c>
      <c r="G10" s="48" t="inlineStr">
        <is>
          <t>RoW</t>
        </is>
      </c>
      <c r="H10" s="48" t="n">
        <v>1.3678971031645</v>
      </c>
      <c r="I10" s="48" t="inlineStr">
        <is>
          <t>kg</t>
        </is>
      </c>
      <c r="J10" s="48" t="inlineStr">
        <is>
          <t>RoW</t>
        </is>
      </c>
      <c r="K10" s="48" t="n">
        <v>0.190351087648024</v>
      </c>
      <c r="L10" s="48" t="inlineStr">
        <is>
          <t>kg</t>
        </is>
      </c>
      <c r="M10" s="48" t="inlineStr">
        <is>
          <t>RoW</t>
        </is>
      </c>
      <c r="N10" s="48">
        <f>3200</f>
        <v/>
      </c>
      <c r="O10" s="48" t="inlineStr">
        <is>
          <t>SGD/t</t>
        </is>
      </c>
      <c r="P10" s="48" t="inlineStr">
        <is>
          <t>-</t>
        </is>
      </c>
      <c r="Q10" s="48" t="inlineStr">
        <is>
          <t>-</t>
        </is>
      </c>
      <c r="R10" s="48" t="inlineStr">
        <is>
          <t>SSM (2025)</t>
        </is>
      </c>
      <c r="S10" s="48" t="inlineStr">
        <is>
          <t>-</t>
        </is>
      </c>
    </row>
    <row r="11" ht="21.75" customHeight="1" s="67">
      <c r="A11" s="50" t="n"/>
      <c r="B11" s="51" t="inlineStr">
        <is>
          <t>Landfill</t>
        </is>
      </c>
      <c r="C11" s="51" t="inlineStr">
        <is>
          <t>Waste Aluminium</t>
        </is>
      </c>
      <c r="D11" s="51" t="inlineStr">
        <is>
          <t>treatment of waste aluminium, sanitary landfill</t>
        </is>
      </c>
      <c r="E11" s="51" t="n">
        <v>0.0171749693357053</v>
      </c>
      <c r="F11" s="51" t="inlineStr">
        <is>
          <t>kg</t>
        </is>
      </c>
      <c r="G11" s="51" t="inlineStr">
        <is>
          <t>RoW</t>
        </is>
      </c>
      <c r="H11" s="51" t="n">
        <v>0.0173246625319673</v>
      </c>
      <c r="I11" s="51" t="inlineStr">
        <is>
          <t>kg</t>
        </is>
      </c>
      <c r="J11" s="51" t="inlineStr">
        <is>
          <t>RoW</t>
        </is>
      </c>
      <c r="K11" s="51" t="n">
        <v>0.00308066614985895</v>
      </c>
      <c r="L11" s="51" t="inlineStr">
        <is>
          <t>kg</t>
        </is>
      </c>
      <c r="M11" s="51" t="inlineStr">
        <is>
          <t>RoW</t>
        </is>
      </c>
      <c r="N11" s="51" t="n">
        <v>20</v>
      </c>
      <c r="O11" s="51" t="inlineStr">
        <is>
          <t>SGD/t</t>
        </is>
      </c>
      <c r="P11" s="51" t="inlineStr">
        <is>
          <t>-</t>
        </is>
      </c>
      <c r="Q11" s="51" t="inlineStr">
        <is>
          <t>-</t>
        </is>
      </c>
      <c r="R11" s="51" t="inlineStr">
        <is>
          <t>Vietnam Business Council for Sustainable Development (2019)</t>
        </is>
      </c>
      <c r="S11" s="51" t="n"/>
    </row>
    <row r="12" ht="21.75" customHeight="1" s="67">
      <c r="A12" s="48" t="inlineStr">
        <is>
          <t>Paper / Cardboard</t>
        </is>
      </c>
      <c r="B12" s="48" t="inlineStr">
        <is>
          <t>Recycling</t>
        </is>
      </c>
      <c r="C12" s="48" t="inlineStr">
        <is>
          <t>Graphic paper</t>
        </is>
      </c>
      <c r="D12" s="48" t="inlineStr">
        <is>
          <t>graphic paper production, 100% recycled</t>
        </is>
      </c>
      <c r="E12" s="48" t="n">
        <v>1.14316594188477</v>
      </c>
      <c r="F12" s="48" t="inlineStr">
        <is>
          <t>kg</t>
        </is>
      </c>
      <c r="G12" s="48" t="inlineStr">
        <is>
          <t>RoW</t>
        </is>
      </c>
      <c r="H12" s="48" t="n">
        <v>0.468846134516184</v>
      </c>
      <c r="I12" s="48" t="inlineStr">
        <is>
          <t>kg</t>
        </is>
      </c>
      <c r="J12" s="48" t="inlineStr">
        <is>
          <t>RoW</t>
        </is>
      </c>
      <c r="K12" s="48" t="n">
        <v>0.282916739058487</v>
      </c>
      <c r="L12" s="48" t="inlineStr">
        <is>
          <t>kg</t>
        </is>
      </c>
      <c r="M12" s="48" t="inlineStr">
        <is>
          <t>RoW</t>
        </is>
      </c>
      <c r="N12" s="48">
        <f>250</f>
        <v/>
      </c>
      <c r="O12" s="48" t="inlineStr">
        <is>
          <t>SGD/t</t>
        </is>
      </c>
      <c r="P12" s="18" t="n">
        <v>200000</v>
      </c>
      <c r="Q12" s="48" t="inlineStr">
        <is>
          <t>SGD</t>
        </is>
      </c>
      <c r="R12" s="48" t="inlineStr">
        <is>
          <t>Fastmarkets (2025); World Paper Mill (2024)</t>
        </is>
      </c>
      <c r="S12" s="48" t="inlineStr">
        <is>
          <t>-</t>
        </is>
      </c>
    </row>
    <row r="13" ht="21.75" customHeight="1" s="67">
      <c r="A13" s="49" t="n"/>
      <c r="B13" s="51" t="inlineStr">
        <is>
          <t>Virgin production</t>
        </is>
      </c>
      <c r="C13" s="51" t="inlineStr">
        <is>
          <t>Graphic paper</t>
        </is>
      </c>
      <c r="D13" s="51" t="inlineStr">
        <is>
          <t>paper, woodfree, uncoated</t>
        </is>
      </c>
      <c r="E13" s="51" t="n">
        <v>1.05099232426659</v>
      </c>
      <c r="F13" s="51" t="inlineStr">
        <is>
          <t>kg</t>
        </is>
      </c>
      <c r="G13" s="51" t="inlineStr">
        <is>
          <t>RoW</t>
        </is>
      </c>
      <c r="H13" s="51" t="n">
        <v>0.970709963071003</v>
      </c>
      <c r="I13" s="51" t="inlineStr">
        <is>
          <t>kg</t>
        </is>
      </c>
      <c r="J13" s="51" t="inlineStr">
        <is>
          <t>RoW</t>
        </is>
      </c>
      <c r="K13" s="51" t="n">
        <v>1.36474303676972</v>
      </c>
      <c r="L13" s="51" t="inlineStr">
        <is>
          <t>kg</t>
        </is>
      </c>
      <c r="M13" s="51" t="inlineStr">
        <is>
          <t>RoW</t>
        </is>
      </c>
      <c r="N13" s="51">
        <f>950</f>
        <v/>
      </c>
      <c r="O13" s="51" t="inlineStr">
        <is>
          <t>SGD/t</t>
        </is>
      </c>
      <c r="P13" s="51" t="inlineStr">
        <is>
          <t>-</t>
        </is>
      </c>
      <c r="Q13" s="51" t="inlineStr">
        <is>
          <t>-</t>
        </is>
      </c>
      <c r="R13" s="51" t="inlineStr">
        <is>
          <t>Fastmarkets (2025)</t>
        </is>
      </c>
      <c r="S13" s="51" t="n"/>
    </row>
    <row r="14" ht="21.75" customHeight="1" s="67">
      <c r="A14" s="50" t="n"/>
      <c r="B14" s="48" t="inlineStr">
        <is>
          <t>Landfill</t>
        </is>
      </c>
      <c r="C14" s="48" t="inlineStr">
        <is>
          <t>Waste graphical paper</t>
        </is>
      </c>
      <c r="D14" s="48" t="inlineStr">
        <is>
          <t>treatment of waste graphical paper, sanitary landfill</t>
        </is>
      </c>
      <c r="E14" s="48" t="n">
        <v>1.27973681578935</v>
      </c>
      <c r="F14" s="48" t="inlineStr">
        <is>
          <t>kg</t>
        </is>
      </c>
      <c r="G14" s="48" t="inlineStr">
        <is>
          <t>RoW</t>
        </is>
      </c>
      <c r="H14" s="48" t="n">
        <v>0.0375411932509706</v>
      </c>
      <c r="I14" s="48" t="inlineStr">
        <is>
          <t>kg</t>
        </is>
      </c>
      <c r="J14" s="48" t="inlineStr">
        <is>
          <t>RoW</t>
        </is>
      </c>
      <c r="K14" s="48" t="n">
        <v>0.00297500746277962</v>
      </c>
      <c r="L14" s="48" t="inlineStr">
        <is>
          <t>kg</t>
        </is>
      </c>
      <c r="M14" s="48" t="inlineStr">
        <is>
          <t>RoW</t>
        </is>
      </c>
      <c r="N14" s="48" t="n">
        <v>20</v>
      </c>
      <c r="O14" s="48" t="inlineStr">
        <is>
          <t>SGD/t</t>
        </is>
      </c>
      <c r="P14" s="48" t="inlineStr">
        <is>
          <t>-</t>
        </is>
      </c>
      <c r="Q14" s="48" t="inlineStr">
        <is>
          <t>-</t>
        </is>
      </c>
      <c r="R14" s="48" t="inlineStr">
        <is>
          <t>Vietnam Business Council for Sustainable Development (2019)</t>
        </is>
      </c>
      <c r="S14" s="48" t="n"/>
    </row>
    <row r="15" ht="21.75" customHeight="1" s="67">
      <c r="A15" s="51" t="inlineStr">
        <is>
          <t>Plastics</t>
        </is>
      </c>
      <c r="B15" s="51" t="inlineStr">
        <is>
          <t>Recycling</t>
        </is>
      </c>
      <c r="C15" s="51" t="inlineStr">
        <is>
          <t>Polyethylene, high density</t>
        </is>
      </c>
      <c r="D15" s="51" t="inlineStr">
        <is>
          <t>polyethylene production, high density, granulate, recycled</t>
        </is>
      </c>
      <c r="E15" s="51" t="n">
        <v>0.708948043165875</v>
      </c>
      <c r="F15" s="51" t="inlineStr">
        <is>
          <t>kg</t>
        </is>
      </c>
      <c r="G15" s="51" t="inlineStr">
        <is>
          <t>RoW</t>
        </is>
      </c>
      <c r="H15" s="51" t="n">
        <v>0.129792033751026</v>
      </c>
      <c r="I15" s="51" t="inlineStr">
        <is>
          <t>kg</t>
        </is>
      </c>
      <c r="J15" s="51" t="inlineStr">
        <is>
          <t>RoW</t>
        </is>
      </c>
      <c r="K15" s="51" t="n">
        <v>0.0190475544295438</v>
      </c>
      <c r="L15" s="51" t="inlineStr">
        <is>
          <t>kg</t>
        </is>
      </c>
      <c r="M15" s="51" t="inlineStr">
        <is>
          <t>RoW</t>
        </is>
      </c>
      <c r="N15" s="20">
        <f>105</f>
        <v/>
      </c>
      <c r="O15" s="51" t="inlineStr">
        <is>
          <t>SGD/t</t>
        </is>
      </c>
      <c r="P15" s="19" t="n">
        <v>500000</v>
      </c>
      <c r="Q15" s="51" t="inlineStr">
        <is>
          <t>SGD</t>
        </is>
      </c>
      <c r="R15" s="51" t="inlineStr">
        <is>
          <t>Wong (2025); Energycle (2025)</t>
        </is>
      </c>
      <c r="S15" s="20" t="inlineStr">
        <is>
          <t>-</t>
        </is>
      </c>
    </row>
    <row r="16" ht="21.75" customHeight="1" s="67">
      <c r="A16" s="49" t="n"/>
      <c r="B16" s="48" t="inlineStr">
        <is>
          <t>Virgin production</t>
        </is>
      </c>
      <c r="C16" s="48" t="inlineStr">
        <is>
          <t>Polyethylene, high density</t>
        </is>
      </c>
      <c r="D16" s="48" t="inlineStr">
        <is>
          <t>polyethylene production, high density, granulate</t>
        </is>
      </c>
      <c r="E16" s="48" t="n">
        <v>2.95152380986867</v>
      </c>
      <c r="F16" s="48" t="inlineStr">
        <is>
          <t>kg</t>
        </is>
      </c>
      <c r="G16" s="48" t="inlineStr">
        <is>
          <t>RoW</t>
        </is>
      </c>
      <c r="H16" s="48" t="n">
        <v>0.305262105007044</v>
      </c>
      <c r="I16" s="48" t="inlineStr">
        <is>
          <t>kg</t>
        </is>
      </c>
      <c r="J16" s="48" t="inlineStr">
        <is>
          <t>RoW</t>
        </is>
      </c>
      <c r="K16" s="48" t="n">
        <v>0.0306500200795655</v>
      </c>
      <c r="L16" s="48" t="inlineStr">
        <is>
          <t>kg</t>
        </is>
      </c>
      <c r="M16" s="48" t="inlineStr">
        <is>
          <t>RoW</t>
        </is>
      </c>
      <c r="N16" s="21">
        <f>1345</f>
        <v/>
      </c>
      <c r="O16" s="48" t="inlineStr">
        <is>
          <t>SGD/t</t>
        </is>
      </c>
      <c r="P16" s="48" t="inlineStr">
        <is>
          <t>-</t>
        </is>
      </c>
      <c r="Q16" s="48" t="inlineStr">
        <is>
          <t>-</t>
        </is>
      </c>
      <c r="R16" s="48" t="inlineStr">
        <is>
          <t>Wong (2025)</t>
        </is>
      </c>
      <c r="S16" s="21" t="inlineStr">
        <is>
          <t>-</t>
        </is>
      </c>
    </row>
    <row r="17" ht="21.75" customHeight="1" s="67">
      <c r="A17" s="50" t="n"/>
      <c r="B17" s="51" t="inlineStr">
        <is>
          <t>Landfill</t>
        </is>
      </c>
      <c r="C17" s="51" t="inlineStr">
        <is>
          <t>Waste polyethylen</t>
        </is>
      </c>
      <c r="D17" s="51" t="inlineStr">
        <is>
          <t>treatment of waste polyethylene, sanitary landfill</t>
        </is>
      </c>
      <c r="E17" s="51" t="n">
        <v>0.137007985972921</v>
      </c>
      <c r="F17" s="51" t="inlineStr">
        <is>
          <t>kg</t>
        </is>
      </c>
      <c r="G17" s="51" t="inlineStr">
        <is>
          <t>RoW</t>
        </is>
      </c>
      <c r="H17" s="51" t="n">
        <v>0.00615309280903644</v>
      </c>
      <c r="I17" s="51" t="inlineStr">
        <is>
          <t>kg</t>
        </is>
      </c>
      <c r="J17" s="51" t="inlineStr">
        <is>
          <t>RoW</t>
        </is>
      </c>
      <c r="K17" s="51" t="n">
        <v>0.00289493681042509</v>
      </c>
      <c r="L17" s="51" t="inlineStr">
        <is>
          <t>kg</t>
        </is>
      </c>
      <c r="M17" s="51" t="inlineStr">
        <is>
          <t>RoW</t>
        </is>
      </c>
      <c r="N17" s="51" t="n">
        <v>20</v>
      </c>
      <c r="O17" s="51" t="inlineStr">
        <is>
          <t>SGD/t</t>
        </is>
      </c>
      <c r="P17" s="51" t="inlineStr">
        <is>
          <t>-</t>
        </is>
      </c>
      <c r="Q17" s="22" t="inlineStr">
        <is>
          <t>-</t>
        </is>
      </c>
      <c r="R17" s="51" t="inlineStr">
        <is>
          <t>Vietnam Business Council for Sustainable Development (2019)</t>
        </is>
      </c>
      <c r="S17" s="51" t="n"/>
    </row>
    <row r="18" ht="21.75" customHeight="1" s="67">
      <c r="A18" s="48" t="inlineStr">
        <is>
          <t>Textile / Leather</t>
        </is>
      </c>
      <c r="B18" s="48" t="inlineStr">
        <is>
          <t>Recycling</t>
        </is>
      </c>
      <c r="C18" s="48" t="inlineStr">
        <is>
          <t>Recycled cotton fibre</t>
        </is>
      </c>
      <c r="D18" s="48" t="inlineStr">
        <is>
          <t>recycled cotton fibre production</t>
        </is>
      </c>
      <c r="E18" s="48" t="n">
        <v>0.381</v>
      </c>
      <c r="F18" s="48" t="inlineStr">
        <is>
          <t>kg</t>
        </is>
      </c>
      <c r="G18" s="48" t="inlineStr">
        <is>
          <t>SI</t>
        </is>
      </c>
      <c r="H18" s="48" t="n">
        <v>0.105</v>
      </c>
      <c r="I18" s="48" t="inlineStr">
        <is>
          <t>kg</t>
        </is>
      </c>
      <c r="J18" s="48" t="inlineStr">
        <is>
          <t>SI</t>
        </is>
      </c>
      <c r="K18" s="48" t="n">
        <v>0.012</v>
      </c>
      <c r="L18" s="48" t="inlineStr">
        <is>
          <t>kg</t>
        </is>
      </c>
      <c r="M18" s="48" t="inlineStr">
        <is>
          <t>SI</t>
        </is>
      </c>
      <c r="N18" s="48">
        <f>4700</f>
        <v/>
      </c>
      <c r="O18" s="48" t="inlineStr">
        <is>
          <t>SGD/t</t>
        </is>
      </c>
      <c r="P18" s="18" t="n">
        <v>600000</v>
      </c>
      <c r="Q18" s="48" t="inlineStr">
        <is>
          <t>SGD</t>
        </is>
      </c>
      <c r="R18" s="48" t="inlineStr">
        <is>
          <t>Miljögiraff (2016); Marini (2024); Finmodelslab (2025)</t>
        </is>
      </c>
      <c r="S18" s="48" t="inlineStr">
        <is>
          <t>-</t>
        </is>
      </c>
    </row>
    <row r="19" ht="21.75" customHeight="1" s="67">
      <c r="A19" s="49" t="n"/>
      <c r="B19" s="51" t="inlineStr">
        <is>
          <t>Virgin production</t>
        </is>
      </c>
      <c r="C19" s="51" t="inlineStr">
        <is>
          <t>Cotton fibre</t>
        </is>
      </c>
      <c r="D19" s="51" t="inlineStr">
        <is>
          <t>fibre production, cotton, ginning</t>
        </is>
      </c>
      <c r="E19" s="51" t="n">
        <v>0.63970097246365</v>
      </c>
      <c r="F19" s="51" t="inlineStr">
        <is>
          <t>kg</t>
        </is>
      </c>
      <c r="G19" s="51" t="inlineStr">
        <is>
          <t>RoW</t>
        </is>
      </c>
      <c r="H19" s="51" t="n">
        <v>0.522967932410099</v>
      </c>
      <c r="I19" s="51" t="inlineStr">
        <is>
          <t>kg</t>
        </is>
      </c>
      <c r="J19" s="51" t="inlineStr">
        <is>
          <t>RoW</t>
        </is>
      </c>
      <c r="K19" s="51" t="n">
        <v>13.8618733414777</v>
      </c>
      <c r="L19" s="51" t="inlineStr">
        <is>
          <t>kg</t>
        </is>
      </c>
      <c r="M19" s="51" t="inlineStr">
        <is>
          <t>RoW</t>
        </is>
      </c>
      <c r="N19" s="51">
        <f>2350</f>
        <v/>
      </c>
      <c r="O19" s="51" t="inlineStr">
        <is>
          <t>SGD/t</t>
        </is>
      </c>
      <c r="P19" s="51" t="inlineStr">
        <is>
          <t>-</t>
        </is>
      </c>
      <c r="Q19" s="51" t="inlineStr">
        <is>
          <t>-</t>
        </is>
      </c>
      <c r="R19" s="51" t="inlineStr">
        <is>
          <t>imarc (2025)</t>
        </is>
      </c>
      <c r="S19" s="51" t="inlineStr">
        <is>
          <t>-</t>
        </is>
      </c>
    </row>
    <row r="20" ht="21.75" customHeight="1" s="67">
      <c r="A20" s="50" t="n"/>
      <c r="B20" s="48" t="inlineStr">
        <is>
          <t>Landfill</t>
        </is>
      </c>
      <c r="C20" s="48" t="inlineStr">
        <is>
          <t>Waste yarn and textile</t>
        </is>
      </c>
      <c r="D20" s="48" t="inlineStr">
        <is>
          <t>treatment of waste yarn and waste textile, unsanitary landfill</t>
        </is>
      </c>
      <c r="E20" s="48" t="n">
        <v>1.23923670135063</v>
      </c>
      <c r="F20" s="48" t="inlineStr">
        <is>
          <t>kg</t>
        </is>
      </c>
      <c r="G20" s="48" t="inlineStr">
        <is>
          <t>RoW</t>
        </is>
      </c>
      <c r="H20" s="48" t="n">
        <v>0.00131968056192072</v>
      </c>
      <c r="I20" s="48" t="inlineStr">
        <is>
          <t>kg</t>
        </is>
      </c>
      <c r="J20" s="48" t="inlineStr">
        <is>
          <t>RoW</t>
        </is>
      </c>
      <c r="K20" s="48" t="n">
        <v>0.00164413693650663</v>
      </c>
      <c r="L20" s="48" t="inlineStr">
        <is>
          <t>kg</t>
        </is>
      </c>
      <c r="M20" s="48" t="inlineStr">
        <is>
          <t>RoW</t>
        </is>
      </c>
      <c r="N20" s="48" t="n">
        <v>20</v>
      </c>
      <c r="O20" s="48" t="inlineStr">
        <is>
          <t>SGD/t</t>
        </is>
      </c>
      <c r="P20" s="23" t="inlineStr">
        <is>
          <t>-</t>
        </is>
      </c>
      <c r="Q20" s="23" t="inlineStr">
        <is>
          <t>-</t>
        </is>
      </c>
      <c r="R20" s="48" t="inlineStr">
        <is>
          <t>Vietnam Business Council for Sustainable Development (2019)</t>
        </is>
      </c>
      <c r="S20" s="48" t="n"/>
    </row>
  </sheetData>
  <mergeCells count="8">
    <mergeCell ref="A12:A14"/>
    <mergeCell ref="A3:A5"/>
    <mergeCell ref="A9:A11"/>
    <mergeCell ref="A15:A17"/>
    <mergeCell ref="A1:B1"/>
    <mergeCell ref="B3:B5"/>
    <mergeCell ref="A6:A8"/>
    <mergeCell ref="A18:A20"/>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5"/>
  <sheetViews>
    <sheetView tabSelected="1" zoomScale="85" zoomScaleNormal="85" workbookViewId="0">
      <pane ySplit="2" topLeftCell="A3" activePane="bottomLeft" state="frozen"/>
      <selection pane="bottomLeft" activeCell="D8" sqref="D8"/>
    </sheetView>
  </sheetViews>
  <sheetFormatPr baseColWidth="10" defaultColWidth="8.7265625" defaultRowHeight="14.25" customHeight="1"/>
  <cols>
    <col width="28" customWidth="1" style="67" min="1" max="1"/>
    <col width="10" customWidth="1" style="67" min="2" max="2"/>
    <col width="15" customWidth="1" style="67" min="3" max="3"/>
    <col width="50" customWidth="1" style="67" min="4" max="4"/>
    <col width="62" customWidth="1" style="67" min="5" max="5"/>
  </cols>
  <sheetData>
    <row r="1" ht="42" customHeight="1" s="67">
      <c r="A1"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row>
    <row r="2" ht="21.75" customFormat="1" customHeight="1" s="24">
      <c r="A2" t="inlineStr">
        <is>
          <t>Parameter</t>
        </is>
      </c>
      <c r="B2" t="inlineStr">
        <is>
          <t>Value</t>
        </is>
      </c>
      <c r="C2" t="inlineStr">
        <is>
          <t>Unit</t>
        </is>
      </c>
      <c r="D2" t="inlineStr">
        <is>
          <t>Description</t>
        </is>
      </c>
      <c r="E2" t="inlineStr">
        <is>
          <t>Source / Rationale</t>
        </is>
      </c>
    </row>
    <row r="3" ht="25.5" customHeight="1" s="67">
      <c r="A3" t="inlineStr">
        <is>
          <t>priceVirgin</t>
        </is>
      </c>
      <c r="B3" t="n">
        <v>1345</v>
      </c>
      <c r="C3" t="inlineStr">
        <is>
          <t>SGD/t</t>
        </is>
      </c>
      <c r="D3" t="inlineStr">
        <is>
          <t>Default virgin price (plastic); per-material in Materials sheet</t>
        </is>
      </c>
      <c r="E3" t="inlineStr">
        <is>
          <t>Default fallback value = plastic proxy (HDPE). Per-material virgin prices are in the Materials sheet (PriceVirgin_SGD_t column). ILLUSTRATIVE.</t>
        </is>
      </c>
    </row>
    <row r="4" ht="25.5" customHeight="1" s="67">
      <c r="A4" t="inlineStr">
        <is>
          <t>costLandfill</t>
        </is>
      </c>
      <c r="B4" t="n">
        <v>20</v>
      </c>
      <c r="C4" t="inlineStr">
        <is>
          <t>SGD/t</t>
        </is>
      </c>
      <c r="D4" t="inlineStr">
        <is>
          <t>Landfill disposal cost per tonne</t>
        </is>
      </c>
      <c r="E4" t="inlineStr">
        <is>
          <t>20 SGD/t ≈ USD 15/t disposal fee. Proxy for Vietnam industrial solid waste landfill tipping fee. Actual fees vary by province; no VSIP1 contract data available. ILLUSTRATIVE.</t>
        </is>
      </c>
    </row>
    <row r="5">
      <c r="A5" t="inlineStr">
        <is>
          <t>gateFeePerTruck_SGD</t>
        </is>
      </c>
      <c r="B5" s="66" t="n">
        <v>4</v>
      </c>
      <c r="C5" t="inlineStr">
        <is>
          <t>SGD/trip</t>
        </is>
      </c>
      <c r="D5" t="inlineStr">
        <is>
          <t>Fixed gate/weighbridge fee per truck visit to BIWASE. Covers site entry, weighbridge weighing, administration. Charged once per truck delivery regardless of cargo weight.</t>
        </is>
      </c>
      <c r="E5" t="inlineStr">
        <is>
          <t>BIWASE PDF (ESCAR ADB 56118-001, Nov 2022), p.13: weighbridge fee at gate confirmed. Range 50,000–150,000 VND/visit (≈ 2–6 SGD). Default 4 SGD = ~100,000 VND. ILLUSTRATIVE.</t>
        </is>
      </c>
    </row>
    <row r="7" ht="25.5" customHeight="1" s="67"/>
    <row r="8" ht="25.5" customHeight="1" s="67"/>
    <row r="9" ht="25.5" customHeight="1" s="67"/>
    <row r="10" ht="25.5" customHeight="1" s="67"/>
    <row r="11" ht="45" customHeight="1" s="67"/>
    <row r="12" ht="45" customHeight="1" s="67"/>
    <row r="13" ht="45" customHeight="1" s="67"/>
    <row r="14" ht="45" customHeight="1" s="67"/>
    <row r="15" ht="45" customHeight="1" s="67"/>
    <row r="16" ht="45" customHeight="1" s="67"/>
    <row r="17" ht="45" customHeight="1" s="67"/>
    <row r="18" ht="45" customHeight="1" s="67"/>
    <row r="19" ht="45" customHeight="1" s="67"/>
  </sheetData>
  <mergeCells count="1">
    <mergeCell ref="A1:E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zoomScaleNormal="100" workbookViewId="0">
      <pane ySplit="2" topLeftCell="A3" activePane="bottomLeft" state="frozen"/>
      <selection activeCell="E1" sqref="E1"/>
      <selection pane="bottomLeft" activeCell="B2" sqref="B2"/>
    </sheetView>
  </sheetViews>
  <sheetFormatPr baseColWidth="10" defaultColWidth="8.7265625" defaultRowHeight="14.25" customHeight="1"/>
  <cols>
    <col width="20" customWidth="1" style="67" min="1" max="8"/>
    <col width="15" customWidth="1" style="67" min="2" max="2"/>
    <col width="15" customWidth="1" style="67" min="3" max="3"/>
    <col width="28" customWidth="1" style="67" min="4" max="4"/>
    <col width="28" customWidth="1" style="67" min="5" max="5"/>
    <col width="28" customWidth="1" style="67" min="6" max="6"/>
    <col width="28" customWidth="1" style="67" min="7" max="7"/>
    <col width="28" customWidth="1" style="67" min="8" max="8"/>
    <col width="18" customWidth="1" style="67" min="9" max="9"/>
    <col width="20" customWidth="1" style="67" min="10" max="10"/>
    <col width="18" customWidth="1" style="67" min="11" max="11"/>
    <col width="50" customWidth="1" style="67" min="12" max="12"/>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5" t="n"/>
      <c r="F1" s="55" t="n"/>
      <c r="G1" s="55" t="n"/>
      <c r="H1" s="55" t="n"/>
      <c r="I1" s="55" t="n"/>
      <c r="J1" s="53" t="n"/>
    </row>
    <row r="2" ht="45" customHeight="1" s="67">
      <c r="A2" s="60" t="inlineStr">
        <is>
          <t>TruckVelocity_kmh</t>
        </is>
      </c>
      <c r="B2" s="60" t="inlineStr">
        <is>
          <t>LoadingTime_h</t>
        </is>
      </c>
      <c r="C2" s="60" t="inlineStr">
        <is>
          <t>UnloadingTime_h</t>
        </is>
      </c>
      <c r="D2" s="60" t="inlineStr">
        <is>
          <t>TruckCapacityPerMat_PLASTIC_t</t>
        </is>
      </c>
      <c r="E2" s="60" t="inlineStr">
        <is>
          <t>TruckCapacityPerMat_PAPER_t</t>
        </is>
      </c>
      <c r="F2" s="60" t="inlineStr">
        <is>
          <t>TruckCapacityPerMat_FERROUS_t</t>
        </is>
      </c>
      <c r="G2" s="60" t="inlineStr">
        <is>
          <t>TruckCapacityPerMat_TEXTILE_t</t>
        </is>
      </c>
      <c r="H2" s="60" t="inlineStr">
        <is>
          <t>TruckCapacityPerMat_NONFERROUS_t</t>
        </is>
      </c>
      <c r="I2" s="60" t="inlineStr">
        <is>
          <t>JollyTruckCount</t>
        </is>
      </c>
      <c r="J2" s="60" t="inlineStr">
        <is>
          <t>JollyPremiumFactor</t>
        </is>
      </c>
      <c r="K2" s="58" t="inlineStr">
        <is>
          <t>TruckCapex_SGD</t>
        </is>
      </c>
      <c r="L2" s="58" t="inlineStr">
        <is>
          <t>Source_capacity</t>
        </is>
      </c>
      <c r="M2" s="61" t="n"/>
      <c r="N2" s="61" t="n"/>
    </row>
    <row r="3" ht="80" customHeight="1" s="67">
      <c r="A3" s="62" t="n">
        <v>60</v>
      </c>
      <c r="B3" s="62" t="n">
        <v>2</v>
      </c>
      <c r="C3" s="62" t="n">
        <v>2</v>
      </c>
      <c r="D3" s="62" t="n">
        <v>4</v>
      </c>
      <c r="E3" s="62" t="n">
        <v>1.5</v>
      </c>
      <c r="F3" s="62" t="n">
        <v>9</v>
      </c>
      <c r="G3" s="62" t="n">
        <v>2</v>
      </c>
      <c r="H3" s="62" t="n">
        <v>8</v>
      </c>
      <c r="I3" s="62" t="n">
        <v>10</v>
      </c>
      <c r="J3" s="62" t="n">
        <v>1.3</v>
      </c>
      <c r="K3" s="63" t="n">
        <v>30000</v>
      </c>
      <c r="L3" s="64" t="inlineStr">
        <is>
          <t>WRAP (2022) Baling guidance; EPA (2016) Waste Characterisation Report; Illustrative</t>
        </is>
      </c>
      <c r="M3" s="61" t="n"/>
      <c r="N3" s="61" t="n"/>
    </row>
    <row r="4" ht="27.75" customHeight="1" s="67">
      <c r="A4" s="65" t="n"/>
      <c r="B4" s="65" t="n"/>
      <c r="C4" s="65" t="n"/>
      <c r="D4" s="65" t="n"/>
      <c r="E4" s="65" t="n"/>
      <c r="F4" s="65" t="n"/>
      <c r="G4" s="65" t="n"/>
      <c r="H4" s="65" t="n"/>
      <c r="I4" s="65" t="n"/>
      <c r="J4" s="65" t="n"/>
      <c r="K4" s="61" t="n"/>
      <c r="L4" s="61" t="n"/>
      <c r="M4" s="61" t="n"/>
      <c r="N4" s="61" t="n"/>
    </row>
    <row r="5" ht="25.5" customHeight="1" s="67">
      <c r="A5" s="65" t="n"/>
      <c r="B5" s="65" t="n"/>
      <c r="C5" s="65" t="n"/>
      <c r="D5" s="65" t="n"/>
      <c r="E5" s="65" t="n"/>
      <c r="F5" s="61" t="n"/>
      <c r="G5" s="61" t="n"/>
      <c r="H5" s="61" t="n"/>
      <c r="I5" s="61" t="n"/>
      <c r="J5" s="61" t="n"/>
      <c r="K5" s="61" t="n"/>
      <c r="L5" s="61" t="n"/>
      <c r="M5" s="61" t="n"/>
      <c r="N5" s="61" t="n"/>
    </row>
    <row r="6">
      <c r="A6" s="61" t="n"/>
      <c r="B6" s="61" t="n"/>
      <c r="C6" s="61" t="n"/>
      <c r="D6" s="61" t="n"/>
      <c r="E6" s="61" t="n"/>
      <c r="F6" s="61" t="n"/>
      <c r="G6" s="61" t="n"/>
      <c r="H6" s="61" t="n"/>
      <c r="I6" s="61" t="n"/>
      <c r="J6" s="61" t="n"/>
      <c r="K6" s="61" t="n"/>
      <c r="L6" s="61" t="n"/>
      <c r="M6" s="61" t="n"/>
      <c r="N6" s="61" t="n"/>
    </row>
    <row r="7">
      <c r="A7" s="61" t="n"/>
      <c r="B7" s="61" t="n"/>
      <c r="C7" s="61" t="n"/>
      <c r="D7" s="61" t="n"/>
      <c r="E7" s="61" t="n"/>
      <c r="F7" s="61" t="n"/>
      <c r="G7" s="61" t="n"/>
      <c r="H7" s="61" t="n"/>
      <c r="I7" s="61" t="n"/>
      <c r="J7" s="61" t="n"/>
      <c r="K7" s="61" t="n"/>
      <c r="L7" s="61" t="n"/>
      <c r="M7" s="61" t="n"/>
      <c r="N7" s="61" t="n"/>
    </row>
    <row r="8">
      <c r="A8" s="61" t="n"/>
      <c r="B8" s="61" t="n"/>
      <c r="C8" s="61" t="n"/>
      <c r="D8" s="61" t="n"/>
      <c r="E8" s="61" t="n"/>
      <c r="F8" s="61" t="n"/>
      <c r="G8" s="61" t="n"/>
      <c r="H8" s="61" t="n"/>
      <c r="I8" s="61" t="n"/>
      <c r="J8" s="61" t="n"/>
      <c r="K8" s="61" t="n"/>
      <c r="L8" s="61" t="n"/>
      <c r="M8" s="61" t="n"/>
      <c r="N8" s="61" t="n"/>
    </row>
    <row r="9">
      <c r="A9" s="61" t="n"/>
      <c r="B9" s="61" t="n"/>
      <c r="C9" s="61" t="n"/>
      <c r="D9" s="61" t="n"/>
      <c r="E9" s="61" t="n"/>
      <c r="F9" s="61" t="n"/>
      <c r="G9" s="61" t="n"/>
      <c r="H9" s="61" t="n"/>
      <c r="I9" s="61" t="n"/>
      <c r="J9" s="61" t="n"/>
      <c r="K9" s="61" t="n"/>
      <c r="L9" s="61" t="n"/>
      <c r="M9" s="61" t="n"/>
      <c r="N9" s="61" t="n"/>
    </row>
  </sheetData>
  <mergeCells count="1">
    <mergeCell ref="A1:J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30"/>
  <sheetViews>
    <sheetView zoomScaleNormal="100" workbookViewId="0">
      <pane ySplit="2" topLeftCell="A3" activePane="bottomLeft" state="frozen"/>
      <selection activeCell="E17" sqref="E17"/>
      <selection pane="bottomLeft" activeCell="B6" sqref="B6"/>
    </sheetView>
  </sheetViews>
  <sheetFormatPr baseColWidth="10" defaultColWidth="8.7265625" defaultRowHeight="14.25" customHeight="1"/>
  <cols>
    <col width="28" customWidth="1" style="67" min="1" max="1"/>
    <col width="10" customWidth="1" style="67" min="2" max="3"/>
    <col width="135" bestFit="1" customWidth="1" style="67" min="4" max="4"/>
    <col width="62" customWidth="1" style="67" min="5" max="5"/>
  </cols>
  <sheetData>
    <row r="1" ht="42" customHeight="1" s="67">
      <c r="A1" s="54" t="inlineStr">
        <is>
          <t>⚠  DISCLAIMER — ILLUSTRATIVE VALUES ONLY: All numerical parameters in this sheet are example values created for the CE 3.0 simulation model (Master's thesis, SimTech Singapore). They are NOT validated against real operational data from VSIP1 or any specific industrial partner. Do not use for real-world decision-making without independent verification.</t>
        </is>
      </c>
      <c r="B1" s="55" t="n"/>
      <c r="C1" s="55" t="n"/>
      <c r="D1" s="55" t="n"/>
      <c r="E1" s="53" t="n"/>
    </row>
    <row r="2" ht="14.5" customHeight="1" s="67">
      <c r="A2" s="1" t="inlineStr">
        <is>
          <t>Parameter</t>
        </is>
      </c>
      <c r="B2" s="1" t="inlineStr">
        <is>
          <t>Value</t>
        </is>
      </c>
      <c r="C2" s="1" t="inlineStr">
        <is>
          <t>Unit</t>
        </is>
      </c>
      <c r="D2" s="1" t="inlineStr">
        <is>
          <t>Description</t>
        </is>
      </c>
      <c r="E2" s="1" t="inlineStr">
        <is>
          <t>Source / Rationale</t>
        </is>
      </c>
      <c r="F2" s="69" t="inlineStr">
        <is>
          <t>Verification Flag</t>
        </is>
      </c>
    </row>
    <row r="3" ht="27.75" customHeight="1" s="67">
      <c r="A3" s="3" t="inlineStr">
        <is>
          <t>totalStorageCapacity</t>
        </is>
      </c>
      <c r="B3" s="39" t="n">
        <v>5000</v>
      </c>
      <c r="C3" s="3" t="inlineStr">
        <is>
          <t>tonnes</t>
        </is>
      </c>
      <c r="D3" s="3" t="inlineStr">
        <is>
          <t>Total storage capacity across all materials</t>
        </is>
      </c>
      <c r="E3" s="12" t="inlineStr">
        <is>
          <t>Model assumption. 82 providers × avg ~5 t/week ≈ 2,100 t/week theoretical peak intake; 5,000 t total provides roughly a 2–3 week buffer. No empirical benchmark from VSIP1. Scale consistent with medium-scale IS hubs discussed in Chertow (2007) 'Uncovering Industrial Symbiosis', J. Ind. Ecology. ILLUSTRATIVE EXAMPLE.</t>
        </is>
      </c>
    </row>
    <row r="4" ht="27.75" customHeight="1" s="67">
      <c r="A4" s="6" t="inlineStr">
        <is>
          <t>tier1Pct</t>
        </is>
      </c>
      <c r="B4" s="40" t="n">
        <v>0.12</v>
      </c>
      <c r="C4" s="6" t="inlineStr">
        <is>
          <t>-</t>
        </is>
      </c>
      <c r="D4" s="6" t="inlineStr">
        <is>
          <t>12% per material = 60% total guaranteed (5 materials)</t>
        </is>
      </c>
      <c r="E4" s="14" t="inlineStr">
        <is>
          <t>Design parameter: 12% dedicated per material × 5 materials = 60% of total capacity reserved as Tier 1 buffers. Ensures every material stream has a guaranteed minimum slot regardless of overall occupancy. Inspired by two-tier IS storage allocation in Branker et al. (2014). No VSIP1 data. ILLUSTRATIVE EXAMPLE.</t>
        </is>
      </c>
    </row>
    <row r="5" ht="27.75" customHeight="1" s="67">
      <c r="A5" s="3" t="inlineStr">
        <is>
          <t>Tier2_FlexiblePct</t>
        </is>
      </c>
      <c r="B5" s="3" t="n">
        <v>0.4</v>
      </c>
      <c r="C5" s="3" t="inlineStr">
        <is>
          <t>-</t>
        </is>
      </c>
      <c r="D5" s="3" t="inlineStr">
        <is>
          <t>40% shared flexible pool (first-come-first-served)</t>
        </is>
      </c>
      <c r="E5" s="12" t="inlineStr">
        <is>
          <t>Design parameter: 40% of total capacity forms a shared flexible pool, allocated first-come-first-served across all materials. Enables efficient use of spare capacity. Based on multi-commodity shared storage principles in IS network literature. ILLUSTRATIVE EXAMPLE.</t>
        </is>
      </c>
    </row>
    <row r="6" ht="27.75" customHeight="1" s="67">
      <c r="A6" s="6" t="inlineStr">
        <is>
          <t>ProcessingRate_tDay</t>
        </is>
      </c>
      <c r="B6" s="6" t="n">
        <v>50</v>
      </c>
      <c r="C6" s="6" t="inlineStr">
        <is>
          <t>t/day</t>
        </is>
      </c>
      <c r="D6" s="6" t="inlineStr">
        <is>
          <t>Daily processing throughput</t>
        </is>
      </c>
      <c r="E6" s="14" t="inlineStr">
        <is>
          <t>50 t/day ≈ 350 t/week. Sized at ~17% of theoretical max weekly intake (82 providers). Representative of a medium-scale industrial sorting + baling + shredding facility. No vendor quotation or VSIP1 facility data. ILLUSTRATIVE EXAMPLE.</t>
        </is>
      </c>
    </row>
    <row r="7" ht="14.5" customFormat="1" customHeight="1" s="3">
      <c r="A7" s="3" t="inlineStr">
        <is>
          <t>capexPerStorageUnit</t>
        </is>
      </c>
      <c r="B7" s="39" t="n">
        <v>100</v>
      </c>
      <c r="C7" s="3" t="inlineStr">
        <is>
          <t>SGD/t</t>
        </is>
      </c>
      <c r="D7" s="3" t="inlineStr">
        <is>
          <t>Capital cost per tonne of storage capacity (Intermediate recycling hub only). Moved from Baseline sheet — belongs to Intermediate infrastructure.</t>
        </is>
      </c>
      <c r="E7" s="3" t="inlineStr">
        <is>
          <t>100 SGD/t ≈ USD 74/t for industrial warehouse/yard construction. Generic proxy; not based on vendor quotation or VSIP1 facility data. ILLUSTRATIVE.</t>
        </is>
      </c>
    </row>
    <row r="8" ht="27.75" customHeight="1" s="67">
      <c r="A8" s="6" t="inlineStr">
        <is>
          <t>opexPerStorageUnitPerMonth</t>
        </is>
      </c>
      <c r="B8" s="40" t="n">
        <v>2</v>
      </c>
      <c r="C8" s="6" t="inlineStr">
        <is>
          <t>SGD/(t*month)</t>
        </is>
      </c>
      <c r="D8" s="6" t="inlineStr">
        <is>
          <t>Monthly operating cost per tonne of capacity actually in use (variable-cost model). Covers labour, utilities, maintenance, insurance. Moved from Baseline sheet.</t>
        </is>
      </c>
      <c r="E8" s="14" t="inlineStr">
        <is>
          <t>2 SGD/(t·month) ≈ 2.4% of CAPEX/year. Generic industrial storage estimate. ILLUSTRATIVE.</t>
        </is>
      </c>
    </row>
    <row r="9" ht="14.5" customFormat="1" customHeight="1" s="3">
      <c r="A9" s="3" t="inlineStr">
        <is>
          <t>salvageValuePercent</t>
        </is>
      </c>
      <c r="B9" s="39" t="n">
        <v>0.1</v>
      </c>
      <c r="C9" s="3" t="inlineStr">
        <is>
          <t>-</t>
        </is>
      </c>
      <c r="D9" s="3" t="inlineStr">
        <is>
          <t>Residual value of Intermediate storage infrastructure at end of 10-year horizon (fraction of total CAPEX). Moved from Baseline sheet.</t>
        </is>
      </c>
      <c r="E9" s="3" t="inlineStr">
        <is>
          <t>10% residual value. Generic assumption for industrial equipment salvage. ILLUSTRATIVE.</t>
        </is>
      </c>
    </row>
    <row r="10" ht="27.75" customHeight="1" s="67">
      <c r="A10" s="6" t="inlineStr">
        <is>
          <t>discountRate</t>
        </is>
      </c>
      <c r="B10" s="40" t="n">
        <v>0.08</v>
      </c>
      <c r="C10" s="6" t="inlineStr">
        <is>
          <t>-</t>
        </is>
      </c>
      <c r="D10" s="6" t="inlineStr">
        <is>
          <t>Annual discount rate for NPV</t>
        </is>
      </c>
      <c r="E10" s="14" t="inlineStr">
        <is>
          <t>8% real annual discount rate. Consistent with SE Asia infrastructure and industrial investment benchmarks (ADB project evaluations, World Bank discount rate guidance for developing economies). ILLUSTRATIVE.</t>
        </is>
      </c>
    </row>
    <row r="11">
      <c r="A11" t="inlineStr">
        <is>
          <t>burningThreshold_t</t>
        </is>
      </c>
      <c r="B11" s="66" t="n">
        <v>20</v>
      </c>
      <c r="C11" t="inlineStr">
        <is>
          <t>t</t>
        </is>
      </c>
      <c r="D11" t="inlineStr">
        <is>
          <t>Total accumulated waste mass threshold (across all materials) at BIWASE that triggers a batch incineration event. Set per simulation batch-run; 20 t ≈ ~4 h at 5,200 kg/h non-hazardous incinerator capacity.</t>
        </is>
      </c>
      <c r="E11" t="inlineStr">
        <is>
          <t>BIWASE capacity: non-hazardous industrial waste incinerators = 1,000 + 4,200 kg/h = 5,200 kg/h (ESCAR ADB 56118-001, p.14). 20 t ≈ 3.85 h of continuous operation. Realistic trigger for batch simulation. ILLUSTRATIVE.</t>
        </is>
      </c>
    </row>
    <row r="12">
      <c r="A12" t="inlineStr">
        <is>
          <t>emissionFactor_CO2_kgPerKg</t>
        </is>
      </c>
      <c r="B12" s="68" t="n">
        <v>0.95</v>
      </c>
      <c r="C12" t="inlineStr">
        <is>
          <t>kg CO2 / kg waste</t>
        </is>
      </c>
      <c r="D12" t="inlineStr">
        <is>
          <t>Direct CO2 emission factor per kg of mixed industrial/MSW waste incinerated in primary combustion chamber (wet basis). Used for LCA incineration GHG accounting in CE3.0 non-IS baseline.</t>
        </is>
      </c>
      <c r="E12" t="inlineStr">
        <is>
          <t>Intergovernmental Panel on Climate Change (IPCC) 2006 Guidelines for National GHG Inventories, Vol. 5 Ch. 5 (Incineration): mixed waste EF ≈ 0.8–1.1 kg CO2/kg. Indicative value 0.95 used here; replace with site-specific fuel mix when VSIP1/BIWASE data available. ILLUSTRATIVE.</t>
        </is>
      </c>
      <c r="F12"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3">
      <c r="A13" t="inlineStr">
        <is>
          <t>emissionFactor_CO_kgPerKg</t>
        </is>
      </c>
      <c r="B13" s="68" t="n">
        <v>0.001</v>
      </c>
      <c r="C13" t="inlineStr">
        <is>
          <t>kg CO / kg waste</t>
        </is>
      </c>
      <c r="D13" t="inlineStr">
        <is>
          <t>Carbon monoxide emission factor per kg waste burned. Represents incomplete combustion products from primary chamber at 650–900°C. CE3.0 uses this for non-IS LCA CO accounting.</t>
        </is>
      </c>
      <c r="E13" t="inlineStr">
        <is>
          <t>EU Industrial Emissions Directive (2010/75/EU) Annex VI emission limits: CO ≤ 50 mg/Nm3 at 11% O2; empirical MSW combustion CO yield ~1 g/kg waste (Buekens &amp; Huang 1998). Indicative value. ILLUSTRATIVE.</t>
        </is>
      </c>
      <c r="F13"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4">
      <c r="A14" t="inlineStr">
        <is>
          <t>emissionFactor_NOx_kgPerKg</t>
        </is>
      </c>
      <c r="B14" s="68" t="n">
        <v>0.0015</v>
      </c>
      <c r="C14" t="inlineStr">
        <is>
          <t>kg NOx / kg waste</t>
        </is>
      </c>
      <c r="D14" t="inlineStr">
        <is>
          <t>Nitrogen oxide (NOx as NO2) emission factor per kg waste burned in primary combustion chamber. Formed from fuel-N and thermal-N at 650–900°C. CE3.0 uses this for non-IS LCA NOx accounting.</t>
        </is>
      </c>
      <c r="E14" t="inlineStr">
        <is>
          <t>EU IED Annex VI limit: NOx ≤ 200 mg/Nm3 (11% O2). Empirical MSW incineration NOx yield ~1.5 g/kg waste (Arena 2012, Waste Management). Indicative value. ILLUSTRATIVE.</t>
        </is>
      </c>
      <c r="F14" s="70" t="inlineStr">
        <is>
          <t>⚠ TODO BEFORE FINAL RESULTS (2026-03-31): This emission factor is taken from the general literature (see Source/Rationale, col E). It has NOT been verified against VSIP1-specific or BIWASE-specific waste composition data. Before submitting thesis results, replace with: (1) measured calorific value and elemental analysis of the actual waste stream at BIWASE, (2) BIWASE/ESCAR operational emission monitoring data if available (ADB 56118-001), (3) or validated ecoinvent 3.9 process for the actual material mix. Current value is ILLUSTRATIVE ONLY.</t>
        </is>
      </c>
    </row>
    <row r="15">
      <c r="A15" t="inlineStr">
        <is>
          <t>gwpFactor_drying_kgCO2eqPerKg</t>
        </is>
      </c>
      <c r="B15" s="75" t="n">
        <v>0.05</v>
      </c>
      <c r="C15" t="inlineStr">
        <is>
          <t>kg CO2-eq / kg waste</t>
        </is>
      </c>
      <c r="D15" t="inlineStr">
        <is>
          <t>GWP emission factor for waste drying stage in batch incineration. Represents GHG from moisture evaporation and pre-heating (indirect energy and steam release). ILLUSTRATIVE — replace with ecoinvent 3.9 process data before thesis submission.</t>
        </is>
      </c>
      <c r="E15" t="inlineStr">
        <is>
          <t>IPCC 2006 NGGIP Vol.5 Ch.5; Arena 2012 (Waste Management). Placeholder 0.05 kg CO2-eq/kg. Lower bound of drying-stage GHG: typically 2–8% of total incineration impact.</t>
        </is>
      </c>
      <c r="F15" t="inlineStr">
        <is>
          <t>⚠ NOT VERIFIED — replace with ecoinvent 3.9 'treatment of municipal solid waste by incineration' (RoW) before thesis submission</t>
        </is>
      </c>
    </row>
    <row r="16">
      <c r="A16" t="inlineStr">
        <is>
          <t>gwpFactor_thermalDecomp_kgCO2eqPerKg</t>
        </is>
      </c>
      <c r="B16" s="75" t="n">
        <v>0.8</v>
      </c>
      <c r="C16" t="inlineStr">
        <is>
          <t>kg CO2-eq / kg waste</t>
        </is>
      </c>
      <c r="D16" t="inlineStr">
        <is>
          <t>GWP emission factor for thermal decomposition stage (primary combustion chamber, 850–1000°C). Represents direct CO2 from oxidation of organic fraction. ILLUSTRATIVE — replace with ecoinvent 3.9 process data.</t>
        </is>
      </c>
      <c r="E16" t="inlineStr">
        <is>
          <t>IPCC 2006 mixed waste combustion EF: 0.8–1.1 kg CO2/kg (wet basis). Value 0.80 used here (lower end for mixed industrial waste with significant inorganic fraction). Update with BIWASE-specific fuel characterisation.</t>
        </is>
      </c>
      <c r="F16" t="inlineStr">
        <is>
          <t>⚠ NOT VERIFIED — replace with ecoinvent 3.9 'treatment of municipal solid waste by incineration' (RoW) before thesis submission</t>
        </is>
      </c>
    </row>
    <row r="17">
      <c r="A17" t="inlineStr">
        <is>
          <t>gwpFactor_slagFormation_kgCO2eqPerKg</t>
        </is>
      </c>
      <c r="B17" s="75" t="n">
        <v>0.02</v>
      </c>
      <c r="C17" t="inlineStr">
        <is>
          <t>kg CO2-eq / kg waste</t>
        </is>
      </c>
      <c r="D17" t="inlineStr">
        <is>
          <t>GWP emission factor for slag/ash formation stage (bottom ash stabilisation and residue handling). Represents residual oxidation and mineral carbonation reactions producing bottom ash. ILLUSTRATIVE — replace with ecoinvent data.</t>
        </is>
      </c>
      <c r="E17" t="inlineStr">
        <is>
          <t>Estimated from ecoinvent 3.9 "treatment of municipal solid waste, incineration" process. Slag-related GHG typically &lt;5% of total incineration GWP. 0.02 kg CO2-eq/kg used as indicative value.</t>
        </is>
      </c>
      <c r="F17" t="inlineStr">
        <is>
          <t>⚠ NOT VERIFIED — replace with ecoinvent 3.9 'treatment of municipal solid waste by incineration' (RoW) before thesis submission</t>
        </is>
      </c>
    </row>
    <row r="18">
      <c r="A18" t="inlineStr">
        <is>
          <t>htpFactor_incineration_CTUhPerKg</t>
        </is>
      </c>
      <c r="B18" s="68" t="n">
        <v>2.5e-09</v>
      </c>
      <c r="C18" t="inlineStr">
        <is>
          <t>CTUh / kg waste</t>
        </is>
      </c>
      <c r="D18" t="inlineStr">
        <is>
          <t>Human Toxicity Potential (HTP) emission factor for waste incineration at BIWASE. Accounts for toxic emissions (dioxins, heavy metals) from combustion of mixed industrial/MSW waste. ILLUSTRATIVE — replace with ecoinvent 3.9 'treatment of municipal solid waste by incineration' (RoW) before thesis submission.</t>
        </is>
      </c>
      <c r="E18" t="inlineStr">
        <is>
          <t>Indicative value from ecoinvent 3.9 incineration process characterisation factors (CTUh / kg). Range: 1e-9 to 1e-8 CTUh/kg depending on flue gas treatment level. BIWASE operates bag filter + scrubber — use mid-range estimate. ILLUSTRATIVE ONLY.</t>
        </is>
      </c>
      <c r="F18" t="inlineStr">
        <is>
          <t>⚠ NOT VERIFIED — replace with ecoinvent 3.9 'treatment of municipal solid waste by incineration' (RoW) before thesis submission</t>
        </is>
      </c>
    </row>
    <row r="19">
      <c r="A19" t="inlineStr">
        <is>
          <t>lupFactor_incineration_m2yrPerKg</t>
        </is>
      </c>
      <c r="B19" s="68" t="n">
        <v>0.002</v>
      </c>
      <c r="C19" t="inlineStr">
        <is>
          <t>m2yr / kg waste</t>
        </is>
      </c>
      <c r="D19" t="inlineStr">
        <is>
          <t>Land Use Potential (LUP) emission factor for waste incineration. Represents land occupation for BIWASE facility footprint and ash disposal area per kg processed. ILLUSTRATIVE — replace with ecoinvent 3.9 'treatment of municipal solid waste by incineration' (RoW) before thesis submission.</t>
        </is>
      </c>
      <c r="E19" t="inlineStr">
        <is>
          <t>Indicative estimate based on ecoinvent 3.9 LUP characterisation for incineration (RoW). LUP is typically small for incineration vs. landfill. ILLUSTRATIVE ONLY.</t>
        </is>
      </c>
      <c r="F19" t="inlineStr">
        <is>
          <t>⚠ NOT VERIFIED — replace with ecoinvent 3.9 'treatment of municipal solid waste by incineration' (RoW) before thesis submission</t>
        </is>
      </c>
    </row>
    <row r="20">
      <c r="A20" t="inlineStr">
        <is>
          <t>cedFactor_incineration_MJPerKg</t>
        </is>
      </c>
      <c r="B20" s="68" t="n">
        <v>0.8</v>
      </c>
      <c r="C20" t="inlineStr">
        <is>
          <t>MJ / kg waste</t>
        </is>
      </c>
      <c r="D20" t="inlineStr">
        <is>
          <t>Cumulative Energy Demand (CED) for waste incineration at BIWASE. Represents non-renewable primary energy consumed per kg of waste processed (auxiliary fuel, electrical auxiliary loads, flue gas treatment). ILLUSTRATIVE — replace with ecoinvent 3.9 'treatment of municipal solid waste by incineration' (RoW) before thesis submission.</t>
        </is>
      </c>
      <c r="E20" t="inlineStr">
        <is>
          <t>Indicative value: BIWASE operates a two-chamber incinerator at 850–1000°C with oil/gas auxiliary burner. CED typical range 0.4–1.5 MJ/kg for industrial incineration. ILLUSTRATIVE ONLY — replace with ecoinvent 3.9 RoW process.</t>
        </is>
      </c>
      <c r="F20" t="inlineStr">
        <is>
          <t>⚠ NOT VERIFIED — replace with ecoinvent 3.9 'treatment of municipal solid waste by incineration' (RoW) before thesis submission</t>
        </is>
      </c>
    </row>
    <row r="22">
      <c r="A22" s="76" t="inlineStr">
        <is>
          <t>── Process Waste Fate &amp; NoIS Disposal Arrays (Consensus-validated 2026-04-02) ──</t>
        </is>
      </c>
    </row>
    <row r="23">
      <c r="A23" t="inlineStr">
        <is>
          <t>pw_landfillSharePerMat[]</t>
        </is>
      </c>
      <c r="B23" t="inlineStr">
        <is>
          <t>[0.70, 0.80, 0.85, 0.50, 0.85]</t>
        </is>
      </c>
      <c r="C23" t="inlineStr">
        <is>
          <t>fraction [PLASTIC/PAPER/Fe/TEXTILE/NFe]</t>
        </is>
      </c>
      <c r="D23" t="inlineStr">
        <is>
          <t>Hard-coded in ALP Main (not read from Excel). Recycling residue → landfill per material.</t>
        </is>
      </c>
      <c r="E23" t="inlineStr">
        <is>
          <t>[LIT] Vietnam ET Journal 2024; SE Asia MSW 2023 (Sustainability); Thai Al LCA 2025 (IOP); Energies 2024 (Textile)</t>
        </is>
      </c>
    </row>
    <row r="24">
      <c r="A24" t="inlineStr">
        <is>
          <t>pw_incinerationSharePerMat[]</t>
        </is>
      </c>
      <c r="B24" t="inlineStr">
        <is>
          <t>[0.25, 0.10, 0.05, 0.40, 0.10]</t>
        </is>
      </c>
      <c r="C24" t="inlineStr">
        <is>
          <t>fraction [PLASTIC/PAPER/Fe/TEXTILE/NFe]</t>
        </is>
      </c>
      <c r="D24" t="inlineStr">
        <is>
          <t>Hard-coded in ALP Main (not read from Excel). Recycling residue → incineration per material.</t>
        </is>
      </c>
      <c r="E24" t="inlineStr">
        <is>
          <t>[LIT] SE Asia open burning (ES&amp;T 2020); Energies 2024; Thai Al 2025; HCMC MSW 2016</t>
        </is>
      </c>
    </row>
    <row r="25">
      <c r="A25" s="76" t="inlineStr">
        <is>
          <t>noIS_landfillShare[] / noIS_incinerationShare[]</t>
        </is>
      </c>
      <c r="B25" t="inlineStr">
        <is>
          <t>LF:[0.60,0.75,0.15,0.55,0.15] / IN:[0.30,0.10,0.05,0.35,0.05]</t>
        </is>
      </c>
      <c r="C25" t="inlineStr">
        <is>
          <t>fraction [PLASTIC/PAPER/Fe/TEXTILE/NFe]</t>
        </is>
      </c>
      <c r="D25" t="inlineStr">
        <is>
          <t>BAU disposal (useIS=false). Hard-coded in ALP Main. LF=landfill/open-dump; IN=incineration/open-burning.</t>
        </is>
      </c>
      <c r="E25" t="inlineStr">
        <is>
          <t>[LIT] Vietnam TV MFA 2018 (RCR, metals); HCMC MSW 2016; Vietnam plastic 2024; Energies 2024; Thai Al LCA 2025</t>
        </is>
      </c>
    </row>
    <row r="26">
      <c r="A26" t="inlineStr">
        <is>
          <t>bottomAsh_massFraction</t>
        </is>
      </c>
      <c r="B26" s="77" t="n">
        <v>0.25</v>
      </c>
      <c r="C26" t="inlineStr">
        <is>
          <t>fraction</t>
        </is>
      </c>
      <c r="D26" t="inlineStr">
        <is>
          <t>AnyLogic reads: getCellNumericValue('Intermediate', 26, 2)</t>
        </is>
      </c>
      <c r="E26" t="inlineStr">
        <is>
          <t>[LIT] Bottom ash = 25% of incinerated waste mass. IEA Bioenergy Task 36; EU WID reference.</t>
        </is>
      </c>
    </row>
    <row r="27">
      <c r="A27" t="inlineStr">
        <is>
          <t>flyAsh_massFraction</t>
        </is>
      </c>
      <c r="B27" s="77" t="n">
        <v>0.04</v>
      </c>
      <c r="C27" t="inlineStr">
        <is>
          <t>fraction</t>
        </is>
      </c>
      <c r="D27" t="inlineStr">
        <is>
          <t>AnyLogic reads: getCellNumericValue('Intermediate', 27, 2)</t>
        </is>
      </c>
      <c r="E27" t="inlineStr">
        <is>
          <t>[LIT] Fly ash = 4% mass fraction (hazardous). EU WID 2000/76/EC; ecoinvent 3.9 MSWI reference.</t>
        </is>
      </c>
    </row>
    <row r="28">
      <c r="A28" s="76" t="n"/>
    </row>
    <row r="29"/>
    <row r="30"/>
  </sheetData>
  <mergeCells count="1">
    <mergeCell ref="A1:E1"/>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0"/>
  <sheetViews>
    <sheetView zoomScaleNormal="100" workbookViewId="0">
      <pane ySplit="3" topLeftCell="A4" activePane="bottomLeft" state="frozen"/>
      <selection pane="bottomLeft" activeCell="A1" sqref="A1:G1"/>
    </sheetView>
  </sheetViews>
  <sheetFormatPr baseColWidth="10" defaultColWidth="8.6328125" defaultRowHeight="15" customHeight="1"/>
  <cols>
    <col width="8" customWidth="1" style="67" min="1" max="1"/>
    <col width="22" customWidth="1" style="67" min="2" max="2"/>
    <col width="30" customWidth="1" style="67" min="3" max="3"/>
    <col width="14" customWidth="1" style="67" min="4" max="5"/>
    <col width="20" customWidth="1" style="67" min="6" max="6"/>
    <col width="55" customWidth="1" style="67" min="7" max="7"/>
  </cols>
  <sheetData>
    <row r="1" ht="19.5" customHeight="1" s="67">
      <c r="A1" s="57" t="inlineStr">
        <is>
          <t>Secondary / Recycled Material Market Prices — Vietnam &amp; SE Asia (2024–2025)</t>
        </is>
      </c>
      <c r="B1" s="55" t="n"/>
      <c r="C1" s="55" t="n"/>
      <c r="D1" s="55" t="n"/>
      <c r="E1" s="55" t="n"/>
      <c r="F1" s="55" t="n"/>
      <c r="G1" s="53" t="n"/>
    </row>
    <row r="2" ht="19.5" customHeight="1" s="67">
      <c r="A2" s="56" t="inlineStr">
        <is>
          <t>Prices reflect secondary recovered material sold from the Intermediate agent to Receiver agents in the IS network. Linked to Materials sheet col S (PriceSecondary_USD_t). All prices USD/t; year 2024–2025. SGD conversion: 1 USD = 1.35 SGD.</t>
        </is>
      </c>
      <c r="B2" s="55" t="n"/>
      <c r="C2" s="55" t="n"/>
      <c r="D2" s="55" t="n"/>
      <c r="E2" s="55" t="n"/>
      <c r="F2" s="55" t="n"/>
      <c r="G2" s="53" t="n"/>
    </row>
    <row r="3" ht="21.75" customHeight="1" s="67">
      <c r="A3" s="1" t="inlineStr">
        <is>
          <t>Index</t>
        </is>
      </c>
      <c r="B3" s="1" t="inlineStr">
        <is>
          <t>Material (AnyLogic)</t>
        </is>
      </c>
      <c r="C3" s="1" t="inlineStr">
        <is>
          <t>Secondary Description</t>
        </is>
      </c>
      <c r="D3" s="1" t="inlineStr">
        <is>
          <t>Price (USD/t)</t>
        </is>
      </c>
      <c r="E3" s="1" t="inlineStr">
        <is>
          <t>Price (SGD/t)</t>
        </is>
      </c>
      <c r="F3" s="1" t="inlineStr">
        <is>
          <t>Region</t>
        </is>
      </c>
      <c r="G3" s="1" t="inlineStr">
        <is>
          <t>Source</t>
        </is>
      </c>
    </row>
    <row r="4" ht="21.75" customHeight="1" s="67">
      <c r="A4" s="26" t="n">
        <v>0</v>
      </c>
      <c r="B4" s="27" t="inlineStr">
        <is>
          <t>PLASTIC_SCRAP</t>
        </is>
      </c>
      <c r="C4" s="26" t="inlineStr">
        <is>
          <t>Recycled HDPE / mixed plastic pellets</t>
        </is>
      </c>
      <c r="D4" s="26" t="n">
        <v>750</v>
      </c>
      <c r="E4" s="26" t="n">
        <v>1012.5</v>
      </c>
      <c r="F4" s="28" t="inlineStr">
        <is>
          <t>China / SE Asia import</t>
        </is>
      </c>
      <c r="G4" s="11" t="inlineStr">
        <is>
          <t>S&amp;P Global Platts (2024) Asia Recycled HDPE; Dec 2024: USD 655–967/MT (China); SE Asia proxy USD 750/t. procurementresource.com/resource-center/recycled-hdpe-price-trends</t>
        </is>
      </c>
    </row>
    <row r="5" ht="21.75" customHeight="1" s="67">
      <c r="A5" s="29" t="n">
        <v>1</v>
      </c>
      <c r="B5" s="30" t="inlineStr">
        <is>
          <t>PAPER_WASTE</t>
        </is>
      </c>
      <c r="C5" s="29" t="inlineStr">
        <is>
          <t>Recycled OCC / Old Corrugated Cardboard</t>
        </is>
      </c>
      <c r="D5" s="29" t="n">
        <v>215</v>
      </c>
      <c r="E5" s="29" t="n">
        <v>290.25</v>
      </c>
      <c r="F5" s="31" t="inlineStr">
        <is>
          <t>SE Asia (Vietnam / Thailand mills)</t>
        </is>
      </c>
      <c r="G5" s="13" t="inlineStr">
        <is>
          <t>Fastmarkets (2024) Recycled Board Prices SE Asia Q2–Q3: USD 210–225/MT to regional mills incl. Vietnam. fastmarkets.com/insights/recycled-board-prices-in-southeast-asia-show-slight-upticks-in-late-q2/</t>
        </is>
      </c>
    </row>
    <row r="6" ht="21.75" customHeight="1" s="67">
      <c r="A6" s="26" t="n">
        <v>2</v>
      </c>
      <c r="B6" s="27" t="inlineStr">
        <is>
          <t>FERROUS_METAL</t>
        </is>
      </c>
      <c r="C6" s="26" t="inlineStr">
        <is>
          <t>Ferrous scrap / HMS 1&amp;2 (industrial)</t>
        </is>
      </c>
      <c r="D6" s="26" t="n">
        <v>355</v>
      </c>
      <c r="E6" s="26" t="n">
        <v>479.25</v>
      </c>
      <c r="F6" s="28" t="inlineStr">
        <is>
          <t>Vietnam domestic / CFR import</t>
        </is>
      </c>
      <c r="G6" s="11" t="inlineStr">
        <is>
          <t>S&amp;P Global Commodity Insights (Nov 2024): Vietnam domestic scrap USD 343–367/MT; HMS 1&amp;2 CFR USD 355/MT. spglobal.com/commodity-insights/en/news-research/latest-news/metals/112824-vietnam-domestic-scrap-prices</t>
        </is>
      </c>
    </row>
    <row r="7" ht="21.75" customHeight="1" s="67">
      <c r="A7" s="29" t="n">
        <v>3</v>
      </c>
      <c r="B7" s="30" t="inlineStr">
        <is>
          <t>TEXTILE_WASTE</t>
        </is>
      </c>
      <c r="C7" s="29" t="inlineStr">
        <is>
          <t>Recycled cotton / textile fibres (pre-consumer)</t>
        </is>
      </c>
      <c r="D7" s="29" t="n">
        <v>200</v>
      </c>
      <c r="E7" s="29" t="n">
        <v>270</v>
      </c>
      <c r="F7" s="31" t="inlineStr">
        <is>
          <t>SE Asia / global (lit. estimate)</t>
        </is>
      </c>
      <c r="G7" s="13" t="inlineStr">
        <is>
          <t>IMARC Group (2024) Vietnam Textile Recycling Market (~USD 150–250/t range); Ellen MacArthur Foundation (2017). USD 200/t adopted as mid-range. imarcgroup.com/vietnam-textile-recycling-market</t>
        </is>
      </c>
    </row>
    <row r="8" ht="21.75" customHeight="1" s="67">
      <c r="A8" s="26" t="n">
        <v>4</v>
      </c>
      <c r="B8" s="27" t="inlineStr">
        <is>
          <t>NON_FERROUS_METAL</t>
        </is>
      </c>
      <c r="C8" s="26" t="inlineStr">
        <is>
          <t>Recycled aluminium scrap / borings &amp; turnings</t>
        </is>
      </c>
      <c r="D8" s="26" t="n">
        <v>1750</v>
      </c>
      <c r="E8" s="26" t="n">
        <v>2362.5</v>
      </c>
      <c r="F8" s="28" t="inlineStr">
        <is>
          <t>SE Asia CIF import</t>
        </is>
      </c>
      <c r="G8" s="11" t="inlineStr">
        <is>
          <t>Fastmarkets (Mar 2025): SE Asia Al Scrap Borings &amp; Turnings USD 1,720–1,820/MT CIF; mid-point USD 1,750/t. fastmarkets.com/insights/southeast-asia-aluminium-scrap-prices-import-trends/</t>
        </is>
      </c>
    </row>
    <row r="9" ht="21.75" customHeight="1" s="67">
      <c r="A9" s="32" t="inlineStr">
        <is>
          <t>AnyLogic reads these prices at startup via: secondaryPricePerMat[m] = Input_data.getCellNumericValue("Materials", m+2, 19); // col 19 = S = PriceSecondary_USD_t</t>
        </is>
      </c>
      <c r="B9" s="7" t="n"/>
      <c r="C9" s="7" t="n"/>
      <c r="D9" s="7" t="n"/>
      <c r="E9" s="7" t="n"/>
      <c r="F9" s="7" t="n"/>
      <c r="G9" s="7" t="n"/>
    </row>
    <row r="10" ht="27.75" customHeight="1" s="67"/>
  </sheetData>
  <mergeCells count="3">
    <mergeCell ref="A2:G2"/>
    <mergeCell ref="A1:G1"/>
    <mergeCell ref="A10:G1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0"/>
  <sheetViews>
    <sheetView zoomScaleNormal="100" workbookViewId="0">
      <pane ySplit="1" topLeftCell="A2" activePane="bottomLeft" state="frozen"/>
      <selection activeCell="E17" sqref="E17"/>
      <selection pane="bottomLeft" activeCell="E17" sqref="E17"/>
    </sheetView>
  </sheetViews>
  <sheetFormatPr baseColWidth="10" defaultColWidth="8.7265625" defaultRowHeight="14.25" customHeight="1"/>
  <cols>
    <col width="14" customWidth="1" style="67" min="1" max="1"/>
    <col width="60" customWidth="1" style="67" min="2" max="2"/>
    <col width="10" customWidth="1" style="67" min="3" max="3"/>
    <col width="8" customWidth="1" style="67" min="4" max="4"/>
    <col width="14" customWidth="1" style="67" min="5" max="5"/>
    <col width="60" customWidth="1" style="67" min="6" max="6"/>
  </cols>
  <sheetData>
    <row r="1" ht="21.75" customHeight="1" s="67">
      <c r="A1" s="1" t="inlineStr">
        <is>
          <t>Date Created</t>
        </is>
      </c>
      <c r="B1" s="1" t="inlineStr">
        <is>
          <t>Task</t>
        </is>
      </c>
      <c r="C1" s="1" t="inlineStr">
        <is>
          <t>Priority</t>
        </is>
      </c>
      <c r="D1" s="1" t="inlineStr">
        <is>
          <t>Done</t>
        </is>
      </c>
      <c r="E1" s="1" t="inlineStr">
        <is>
          <t>Date Completed</t>
        </is>
      </c>
      <c r="F1" s="1" t="inlineStr">
        <is>
          <t>Notes</t>
        </is>
      </c>
    </row>
    <row r="2" ht="21.75" customHeight="1" s="67">
      <c r="A2" s="2" t="inlineStr">
        <is>
          <t>2026-03-15</t>
        </is>
      </c>
      <c r="B2" s="2" t="inlineStr">
        <is>
          <t>Change LCA and costs arrays from arrays within AnyLogic to database tables uploaded from Excel</t>
        </is>
      </c>
      <c r="C2" s="2" t="inlineStr">
        <is>
          <t>High</t>
        </is>
      </c>
      <c r="D2" s="25" t="inlineStr">
        <is>
          <t>Partial</t>
        </is>
      </c>
      <c r="E2" s="2" t="n"/>
      <c r="F2" s="2" t="inlineStr">
        <is>
          <t>Currently hardcoded in AdditionalClassCode as Java arrays. Should be loaded from Materials sheet or emissionFactors sheet via database tables. | 2026-03-16: SecondaryPrices (PriceSecondary_USD_t) now in Materials sheet col S; loaded at startup via getCellNumericValue.</t>
        </is>
      </c>
    </row>
    <row r="3" ht="21.75" customHeight="1" s="67">
      <c r="A3" s="5" t="inlineStr">
        <is>
          <t>2026-03-15</t>
        </is>
      </c>
      <c r="B3" s="5" t="inlineStr">
        <is>
          <t>Verify all 82 provider coordinates match Finneiss database exactly</t>
        </is>
      </c>
      <c r="C3" s="5" t="inlineStr">
        <is>
          <t>High</t>
        </is>
      </c>
      <c r="D3" s="5" t="inlineStr">
        <is>
          <t>No</t>
        </is>
      </c>
      <c r="E3" s="5" t="n"/>
      <c r="F3" s="5" t="inlineStr">
        <is>
          <t>Some coordinates may have been rounded or slightly modified. Cross-check with 250509_Database_Model.xlsx ManufacturerProvider sheet.</t>
        </is>
      </c>
    </row>
    <row r="4" ht="21.75" customHeight="1" s="67">
      <c r="A4" s="2" t="inlineStr">
        <is>
          <t>2026-03-15</t>
        </is>
      </c>
      <c r="B4" s="2" t="inlineStr">
        <is>
          <t>Add missing coordinates for VNTT, NATIONAL STARCH, LOTTERIA, AVERY DENNISON</t>
        </is>
      </c>
      <c r="C4" s="2" t="inlineStr">
        <is>
          <t>Medium</t>
        </is>
      </c>
      <c r="D4" s="2" t="inlineStr">
        <is>
          <t>No</t>
        </is>
      </c>
      <c r="E4" s="2" t="n"/>
      <c r="F4" s="2" t="inlineStr">
        <is>
          <t>These 4 companies currently have (0,0) coordinates. Need manual lookup or estimation.</t>
        </is>
      </c>
    </row>
    <row r="5" ht="21.75" customHeight="1" s="67">
      <c r="A5" s="5" t="inlineStr">
        <is>
          <t>2026-03-15</t>
        </is>
      </c>
      <c r="B5" s="5" t="inlineStr">
        <is>
          <t>Validate Receiver agent locations and demand values against literature</t>
        </is>
      </c>
      <c r="C5" s="5" t="inlineStr">
        <is>
          <t>Medium</t>
        </is>
      </c>
      <c r="D5" s="5" t="inlineStr">
        <is>
          <t>No</t>
        </is>
      </c>
      <c r="E5" s="5" t="n"/>
      <c r="F5" s="5" t="inlineStr">
        <is>
          <t>Currently hypothetical values. Need industrial ecology data for VSIP1 demand.</t>
        </is>
      </c>
    </row>
    <row r="6" ht="21.75" customHeight="1" s="67">
      <c r="A6" s="2" t="inlineStr">
        <is>
          <t>2026-03-15</t>
        </is>
      </c>
      <c r="B6" s="2" t="inlineStr">
        <is>
          <t>Remove duplicate company entries (DERHAO, ESQUEL, SG KNITWEAR, APM SPRINGS, etc.)</t>
        </is>
      </c>
      <c r="C6" s="2" t="inlineStr">
        <is>
          <t>Medium</t>
        </is>
      </c>
      <c r="D6" s="2" t="inlineStr">
        <is>
          <t>No</t>
        </is>
      </c>
      <c r="E6" s="2" t="n"/>
      <c r="F6" s="2" t="inlineStr">
        <is>
          <t>Some companies appear twice with same material. Verify if intentional (multiple waste streams) or data error.</t>
        </is>
      </c>
    </row>
    <row r="7" ht="21.75" customHeight="1" s="67">
      <c r="A7" s="5" t="inlineStr">
        <is>
          <t>2026-03-15</t>
        </is>
      </c>
      <c r="B7" s="5" t="inlineStr">
        <is>
          <t>Add CED values from ecoinvent to Materials sheet and verify against emissionFactors</t>
        </is>
      </c>
      <c r="C7" s="5" t="inlineStr">
        <is>
          <t>Low</t>
        </is>
      </c>
      <c r="D7" s="5" t="inlineStr">
        <is>
          <t>No</t>
        </is>
      </c>
      <c r="E7" s="5" t="n"/>
      <c r="F7" s="5" t="inlineStr">
        <is>
          <t>CED values in ALP arrays may not match Materials sheet. Harmonize.</t>
        </is>
      </c>
    </row>
    <row r="8" ht="21.75" customHeight="1" s="67">
      <c r="A8" s="2" t="inlineStr">
        <is>
          <t>2026-03-15</t>
        </is>
      </c>
      <c r="B8" s="2" t="inlineStr">
        <is>
          <t>Validate transport cost parameter (0.10 SGD/t*km) against Vietnamese logistics data</t>
        </is>
      </c>
      <c r="C8" s="2" t="inlineStr">
        <is>
          <t>Low</t>
        </is>
      </c>
      <c r="D8" s="2" t="inlineStr">
        <is>
          <t>No</t>
        </is>
      </c>
      <c r="E8" s="2" t="n"/>
      <c r="F8" s="2" t="inlineStr">
        <is>
          <t>Current value is a placeholder. Worldbank 2019 source covers GWP but not cost.</t>
        </is>
      </c>
    </row>
    <row r="9">
      <c r="A9" t="inlineStr">
        <is>
          <t>2026-04-01</t>
        </is>
      </c>
      <c r="B9" t="inlineStr">
        <is>
          <t>Replace ILLUSTRATIVE combustion GWP stage factors (B15–B17 in Intermediate sheet) with validated ecoinvent 3.9 values. Query: 'treatment of municipal solid waste by incineration' (ecoinvent 3.9, RoW process). Assign GWP proportionally to drying, thermal decomposition, and slag formation stages, or use full-process factor conservatively at thermal stage (B16). Also update source citations in column E of Intermediate sheet.</t>
        </is>
      </c>
      <c r="C9" t="inlineStr">
        <is>
          <t>High</t>
        </is>
      </c>
      <c r="D9" t="inlineStr">
        <is>
          <t>No</t>
        </is>
      </c>
      <c r="F9" t="inlineStr">
        <is>
          <t>Affects GWPActualIncineration (Intermediate) and GWPActualProcess (Provider non-IS path). AnyLogic reads: Intermediate!B15 (drying), B16 (thermalDecomp), B17 (slagFormation). chkRange bounds: 0.0–10.0 kg CO2-eq/kg. Both CombustionSink.onEnter and Provider IS_Rejected state use these factors.</t>
        </is>
      </c>
    </row>
    <row r="10">
      <c r="A10" t="inlineStr">
        <is>
          <t>2026-04-01</t>
        </is>
      </c>
      <c r="B10" t="inlineStr">
        <is>
          <t>Search and add emission factors for plastic scrap recycling steps (shredding, washing, separation, extrusion) for Vietnam/SE Asia region. ecoinvent 3.9 query: 'treatment of plastic waste, via mechanical recycling' (RoW or CN geography). Add per-step EF rows to Intermediate Excel sheet for all four impact categories: GWP (kg CO2-eq/kg), HTP (CTUh/kg), CED (MJ/kg), LUP (m2yr/kg). Wire into each recyclShredding / recyclWashing / recyclSeparation / recyclExtrusion onEnter action in Intermediate agent. Consider system-expansion credit for avoided virgin polymer at extrusion step — document as explicit methodology choice in thesis.</t>
        </is>
      </c>
      <c r="C10" t="inlineStr">
        <is>
          <t>High</t>
        </is>
      </c>
      <c r="D10" t="inlineStr">
        <is>
          <t>No</t>
        </is>
      </c>
      <c r="F10" t="inlineStr">
        <is>
          <t>Affects GWPActualProcess, HTPActualProcess, LUPActualProcess, CEDActualProcess for the IS pathway. Without these, recycling LCA impact is zero — understates processing cost of the IS route.</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style="67" min="1" max="1"/>
    <col width="16" customWidth="1" style="67" min="2" max="2"/>
    <col width="14" customWidth="1" style="67" min="3" max="3"/>
    <col width="55" customWidth="1" style="67" min="4" max="4"/>
    <col width="60" customWidth="1" style="67" min="5" max="5"/>
  </cols>
  <sheetData>
    <row r="1" ht="40" customHeight="1" s="67">
      <c r="A1" s="71" t="inlineStr">
        <is>
          <t>⚠  DISCLAIMER — ILLUSTRATIVE VALUES ONLY: Parameters in this sheet are example values for the CE 3.0 simulation (Master's thesis, SimTech Singapore). NOT validated against real VSIP1 or BIWASE cost data. Replace with vendor quotations or audited financials before using for real-world decisions.</t>
        </is>
      </c>
    </row>
    <row r="2">
      <c r="A2" s="72" t="inlineStr">
        <is>
          <t>Parameter</t>
        </is>
      </c>
      <c r="B2" s="72" t="inlineStr">
        <is>
          <t>Value</t>
        </is>
      </c>
      <c r="C2" s="72" t="inlineStr">
        <is>
          <t>Unit</t>
        </is>
      </c>
      <c r="D2" s="72" t="inlineStr">
        <is>
          <t>Description</t>
        </is>
      </c>
      <c r="E2" s="72" t="inlineStr">
        <is>
          <t>Source / Rationale</t>
        </is>
      </c>
    </row>
    <row r="3" ht="80" customHeight="1" s="67">
      <c r="A3" s="73" t="inlineStr">
        <is>
          <t>recyclingCapex_SGD</t>
        </is>
      </c>
      <c r="B3" s="74" t="n">
        <v>500000</v>
      </c>
      <c r="C3" s="73" t="inlineStr">
        <is>
          <t>SGD</t>
        </is>
      </c>
      <c r="D3" s="73" t="inlineStr">
        <is>
          <t>Total one-time capital expenditure for the recycling facility at BIWASE/Intermediate. Covers equipment (shredder, baler, conveyor, sorting line), civil works, safety infrastructure, and IT/automation. Applied at t=0 in NPV (undiscounted). AnyLogic reads this value from cell B3.</t>
        </is>
      </c>
      <c r="E3" s="73" t="inlineStr">
        <is>
          <t>ILLUSTRATIVE EXAMPLE: 500,000 SGD ≈ USD 370,000. Reference range for a medium-scale industrial sorting/recycling hub: 50,000–2,000,000 USD depending on throughput and automation level (Kerdlap et al. 2019; ISWA reports on recycling infrastructure in SE Asia). Replace with actual vendor quotation for VSIP1/BIWASE before submitting results.</t>
        </is>
      </c>
    </row>
    <row r="4" ht="80" customHeight="1" s="67">
      <c r="A4" s="73" t="inlineStr">
        <is>
          <t>recyclingOpex_annualSGD</t>
        </is>
      </c>
      <c r="B4" s="74" t="n">
        <v>60000</v>
      </c>
      <c r="C4" s="73" t="inlineStr">
        <is>
          <t>SGD/year</t>
        </is>
      </c>
      <c r="D4" s="73" t="inlineStr">
        <is>
          <t>Annual fixed operating expenditure for the recycling facility. Covers labour (operators, supervisors), routine maintenance, energy for fixed equipment, insurance, and regulatory compliance. Applied once per simulated year in Main annual update. AnyLogic reads this value from cell B4.</t>
        </is>
      </c>
      <c r="E4" s="73" t="inlineStr">
        <is>
          <t>ILLUSTRATIVE EXAMPLE: 60,000 SGD/year ≈ 12% of CAPEX per year. Typical OPEX/CAPEX ratio for industrial recycling facilities: 10–20% per year (Ecocycle 2021; various IS hub feasibility studies). Does NOT include variable storage OPEX (read from Intermediate sheet B8). Replace with actual operating cost estimates before submitting results.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2026-03-14T23:18:46Z</dcterms:created>
  <dcterms:modified xmlns:dcterms="http://purl.org/dc/terms/" xmlns:xsi="http://www.w3.org/2001/XMLSchema-instance" xsi:type="dcterms:W3CDTF">2026-04-02T11:50:32Z</dcterms:modified>
  <cp:lastModifiedBy>Caterina Puccio</cp:lastModifiedBy>
  <cp:revision>0</cp:revision>
</cp:coreProperties>
</file>