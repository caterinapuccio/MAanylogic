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758" firstSheet="0" activeTab="4" autoFilterDateGrouping="1"/>
  </bookViews>
  <sheets>
    <sheet xmlns:r="http://schemas.openxmlformats.org/officeDocument/2006/relationships" name="Companies_Listing" sheetId="1" state="visible" r:id="rId1"/>
    <sheet xmlns:r="http://schemas.openxmlformats.org/officeDocument/2006/relationships" name="Materials" sheetId="2" state="visible" r:id="rId2"/>
    <sheet xmlns:r="http://schemas.openxmlformats.org/officeDocument/2006/relationships" name="recycling_and processingfactors" sheetId="3" state="visible" r:id="rId3"/>
    <sheet xmlns:r="http://schemas.openxmlformats.org/officeDocument/2006/relationships" name="emissionFactors" sheetId="4" state="visible" r:id="rId4"/>
    <sheet xmlns:r="http://schemas.openxmlformats.org/officeDocument/2006/relationships" name="Baseline" sheetId="5" state="visible" r:id="rId5"/>
    <sheet xmlns:r="http://schemas.openxmlformats.org/officeDocument/2006/relationships" name="TruckFleet" sheetId="6" state="visible" r:id="rId6"/>
    <sheet xmlns:r="http://schemas.openxmlformats.org/officeDocument/2006/relationships" name="Intermediate" sheetId="7" state="visible" r:id="rId7"/>
    <sheet xmlns:r="http://schemas.openxmlformats.org/officeDocument/2006/relationships" name="SecondaryMaterialPrices" sheetId="8" state="visible" r:id="rId8"/>
    <sheet xmlns:r="http://schemas.openxmlformats.org/officeDocument/2006/relationships" name="to do before submitting" sheetId="9" state="visible" r:id="rId9"/>
  </sheets>
  <definedNames/>
  <calcPr calcId="191029" fullCalcOnLoad="1"/>
</workbook>
</file>

<file path=xl/styles.xml><?xml version="1.0" encoding="utf-8"?>
<styleSheet xmlns="http://schemas.openxmlformats.org/spreadsheetml/2006/main">
  <numFmts count="2">
    <numFmt numFmtId="164" formatCode="#,##0.00000"/>
    <numFmt numFmtId="165" formatCode="_-* #,##0_-;\-* #,##0_-;_-* \-??_-;_-@_-"/>
  </numFmts>
  <fonts count="27">
    <font>
      <name val="Calibri"/>
      <charset val="1"/>
      <family val="2"/>
      <color theme="1"/>
      <sz val="11"/>
    </font>
    <font>
      <name val="Calibri"/>
      <charset val="1"/>
      <family val="2"/>
      <color theme="1"/>
      <sz val="12"/>
    </font>
    <font>
      <name val="Arial"/>
      <charset val="1"/>
      <b val="1"/>
      <color rgb="FFFFFFFF"/>
      <sz val="9"/>
    </font>
    <font>
      <name val="Arial"/>
      <charset val="1"/>
      <color rgb="FF000000"/>
      <sz val="10"/>
    </font>
    <font>
      <name val="Arial"/>
      <charset val="1"/>
      <color rgb="FF0000FF"/>
      <sz val="10"/>
    </font>
    <font>
      <name val="Arial"/>
      <charset val="1"/>
      <family val="2"/>
      <color theme="1"/>
      <sz val="11"/>
    </font>
    <font>
      <name val="Calibri"/>
      <charset val="1"/>
      <family val="2"/>
      <sz val="11"/>
    </font>
    <font>
      <name val="Cambria"/>
      <charset val="1"/>
      <i val="1"/>
      <color rgb="FF0000CD"/>
      <sz val="9"/>
    </font>
    <font>
      <name val="Arial"/>
      <charset val="1"/>
      <sz val="9"/>
    </font>
    <font>
      <name val="Arial"/>
      <charset val="1"/>
      <b val="1"/>
      <color rgb="FF1F497D"/>
      <sz val="9"/>
    </font>
    <font>
      <name val="Arial"/>
      <charset val="1"/>
      <family val="2"/>
      <color theme="1"/>
      <sz val="12"/>
    </font>
    <font>
      <name val="Arial"/>
      <charset val="1"/>
      <family val="2"/>
      <color rgb="FF000000"/>
      <sz val="12"/>
    </font>
    <font>
      <name val="Calibri"/>
      <charset val="1"/>
      <family val="2"/>
      <sz val="10"/>
    </font>
    <font>
      <name val="Cambria"/>
      <charset val="1"/>
      <b val="1"/>
      <color rgb="FFA04000"/>
      <sz val="11"/>
    </font>
    <font>
      <name val="Cambria"/>
      <charset val="1"/>
      <b val="1"/>
      <color rgb="FF1F497D"/>
      <sz val="13"/>
    </font>
    <font>
      <name val="Cambria"/>
      <charset val="1"/>
      <i val="1"/>
      <color rgb="FF555555"/>
      <sz val="9"/>
    </font>
    <font>
      <name val="Cambria"/>
      <charset val="1"/>
      <sz val="10"/>
    </font>
    <font>
      <name val="Cambria"/>
      <charset val="1"/>
      <b val="1"/>
      <sz val="10"/>
    </font>
    <font>
      <name val="Cambria"/>
      <charset val="1"/>
      <sz val="9"/>
    </font>
    <font>
      <name val="Courier New"/>
      <charset val="1"/>
      <color rgb="FF005500"/>
      <sz val="9"/>
    </font>
    <font>
      <name val="Arial"/>
      <b val="1"/>
      <color rgb="FFFFFFFF"/>
      <sz val="10"/>
    </font>
    <font>
      <name val="Arial"/>
      <color rgb="FF0070C0"/>
      <sz val="9"/>
    </font>
    <font>
      <name val="Arial"/>
      <b val="1"/>
      <color rgb="FF000000"/>
      <sz val="9"/>
    </font>
    <font>
      <name val="Arial"/>
      <b val="1"/>
      <color rgb="FF000000"/>
      <sz val="11"/>
    </font>
    <font>
      <name val="Arial"/>
      <color rgb="FF000000"/>
      <sz val="9"/>
    </font>
    <font>
      <name val="Calibri"/>
      <b val="1"/>
      <color rgb="FFFFFFFF"/>
      <sz val="11"/>
    </font>
    <font>
      <name val="Calibri"/>
      <sz val="11"/>
    </font>
  </fonts>
  <fills count="16">
    <fill>
      <patternFill/>
    </fill>
    <fill>
      <patternFill patternType="gray125"/>
    </fill>
    <fill>
      <patternFill patternType="solid">
        <fgColor rgb="FF1F497D"/>
        <bgColor rgb="FF003366"/>
      </patternFill>
    </fill>
    <fill>
      <patternFill patternType="solid">
        <fgColor rgb="FFFFFFFF"/>
        <bgColor rgb="FFEAF0FB"/>
      </patternFill>
    </fill>
    <fill>
      <patternFill patternType="solid">
        <fgColor rgb="FFEAF0FB"/>
        <bgColor rgb="FFD6E4F0"/>
      </patternFill>
    </fill>
    <fill>
      <patternFill patternType="solid">
        <fgColor rgb="FFFF6B00"/>
        <bgColor rgb="FFFF9900"/>
      </patternFill>
    </fill>
    <fill>
      <patternFill patternType="solid">
        <fgColor theme="0" tint="-0.1499984740745262"/>
        <bgColor rgb="FFD6E4F0"/>
      </patternFill>
    </fill>
    <fill>
      <patternFill patternType="solid">
        <fgColor rgb="FFD6E4F0"/>
        <bgColor rgb="FFD9D9D9"/>
      </patternFill>
    </fill>
    <fill>
      <patternFill patternType="solid">
        <fgColor rgb="FF1F497D"/>
      </patternFill>
    </fill>
    <fill>
      <patternFill patternType="solid">
        <fgColor rgb="FFDCE6F1"/>
      </patternFill>
    </fill>
    <fill>
      <patternFill patternType="solid">
        <fgColor rgb="FFFFFFFF"/>
      </patternFill>
    </fill>
    <fill>
      <patternFill patternType="solid">
        <fgColor rgb="FFFFC000"/>
      </patternFill>
    </fill>
    <fill>
      <patternFill patternType="solid">
        <fgColor theme="9" tint="0.7999816888943144"/>
        <bgColor indexed="64"/>
      </patternFill>
    </fill>
    <fill>
      <patternFill patternType="solid">
        <fgColor theme="9" tint="0.7999816888943144"/>
        <bgColor rgb="FFEAF0FB"/>
      </patternFill>
    </fill>
    <fill>
      <patternFill patternType="solid">
        <fgColor theme="9" tint="0.7999816888943144"/>
        <bgColor rgb="FFD6E4F0"/>
      </patternFill>
    </fill>
    <fill>
      <patternFill patternType="solid">
        <fgColor rgb="FFFFCC99"/>
      </patternFill>
    </fill>
  </fills>
  <borders count="14">
    <border>
      <left/>
      <right/>
      <top/>
      <bottom/>
      <diagonal/>
    </border>
    <border>
      <left style="thin">
        <color rgb="FFB0B8C1"/>
      </left>
      <right style="thin">
        <color rgb="FFB0B8C1"/>
      </right>
      <top style="thin">
        <color rgb="FFB0B8C1"/>
      </top>
      <bottom style="thin">
        <color rgb="FFB0B8C1"/>
      </bottom>
      <diagonal/>
    </border>
    <border>
      <left/>
      <right/>
      <top style="thin">
        <color rgb="FFB0B8C1"/>
      </top>
      <bottom style="thin">
        <color rgb="FFB0B8C1"/>
      </bottom>
      <diagonal/>
    </border>
    <border>
      <left/>
      <right style="thin">
        <color rgb="FFB0B8C1"/>
      </right>
      <top style="thin">
        <color rgb="FFB0B8C1"/>
      </top>
      <bottom style="thin">
        <color rgb="FFB0B8C1"/>
      </bottom>
      <diagonal/>
    </border>
    <border>
      <left style="thin">
        <color rgb="FFB0B8C1"/>
      </left>
      <right style="thin">
        <color rgb="FFB0B8C1"/>
      </right>
      <top/>
      <bottom/>
      <diagonal/>
    </border>
    <border>
      <left style="thin">
        <color rgb="FFB0B8C1"/>
      </left>
      <right style="thin">
        <color rgb="FFB0B8C1"/>
      </right>
      <top/>
      <bottom style="thin">
        <color rgb="FFB0B8C1"/>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B0B8C1"/>
      </left>
      <right/>
      <top/>
      <bottom/>
      <diagonal/>
    </border>
    <border>
      <left/>
      <right/>
      <top style="thin">
        <color rgb="FFB0B8C1"/>
      </top>
      <bottom/>
      <diagonal/>
    </border>
    <border>
      <left/>
      <right style="thin">
        <color rgb="FFB0B8C1"/>
      </right>
      <top style="thin">
        <color rgb="FFB0B8C1"/>
      </top>
      <bottom/>
      <diagonal/>
    </border>
  </borders>
  <cellStyleXfs count="2">
    <xf numFmtId="0" fontId="0" fillId="0" borderId="0"/>
    <xf numFmtId="0" fontId="1" fillId="0" borderId="0"/>
  </cellStyleXfs>
  <cellXfs count="67">
    <xf numFmtId="0" fontId="0"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0" fillId="4" borderId="1" applyAlignment="1" pivotButton="0" quotePrefix="0" xfId="0">
      <alignment horizontal="center" vertical="center" wrapText="1"/>
    </xf>
    <xf numFmtId="164" fontId="0"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6" borderId="0" pivotButton="0" quotePrefix="0" xfId="0"/>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3" borderId="1" applyAlignment="1" pivotButton="0" quotePrefix="0" xfId="0">
      <alignment horizontal="center" vertical="center" wrapText="1"/>
    </xf>
    <xf numFmtId="0" fontId="10" fillId="4" borderId="1" applyAlignment="1" pivotButton="0" quotePrefix="0" xfId="0">
      <alignment horizontal="center" vertical="center" wrapText="1"/>
    </xf>
    <xf numFmtId="165" fontId="10" fillId="4" borderId="1" applyAlignment="1" pivotButton="0" quotePrefix="0" xfId="0">
      <alignment horizontal="center" vertical="center" wrapText="1"/>
    </xf>
    <xf numFmtId="165" fontId="10" fillId="3" borderId="1" applyAlignment="1" pivotButton="0" quotePrefix="0" xfId="0">
      <alignment horizontal="center" vertical="center" wrapText="1"/>
    </xf>
    <xf numFmtId="1" fontId="10" fillId="3" borderId="1" applyAlignment="1" pivotButton="0" quotePrefix="0" xfId="0">
      <alignment horizontal="center" vertical="center" wrapText="1"/>
    </xf>
    <xf numFmtId="1" fontId="10" fillId="4" borderId="1" applyAlignment="1" pivotButton="0" quotePrefix="0" xfId="0">
      <alignment horizontal="center" vertical="center" wrapText="1"/>
    </xf>
    <xf numFmtId="0" fontId="11" fillId="3"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6" borderId="0" applyAlignment="1" pivotButton="0" quotePrefix="0" xfId="0">
      <alignment vertical="center"/>
    </xf>
    <xf numFmtId="0" fontId="13" fillId="3" borderId="1" applyAlignment="1" pivotButton="0" quotePrefix="0" xfId="0">
      <alignment horizontal="center" vertical="center" wrapText="1"/>
    </xf>
    <xf numFmtId="0" fontId="16" fillId="3" borderId="1" applyAlignment="1" pivotButton="0" quotePrefix="0" xfId="0">
      <alignment horizontal="center" vertical="center" wrapText="1"/>
    </xf>
    <xf numFmtId="0" fontId="17" fillId="3" borderId="1" applyAlignment="1" pivotButton="0" quotePrefix="0" xfId="0">
      <alignment horizontal="center" vertical="center" wrapText="1"/>
    </xf>
    <xf numFmtId="0" fontId="18" fillId="3" borderId="1" applyAlignment="1" pivotButton="0" quotePrefix="0" xfId="0">
      <alignment horizontal="center" vertical="center" wrapText="1"/>
    </xf>
    <xf numFmtId="0" fontId="16" fillId="4" borderId="1" applyAlignment="1" pivotButton="0" quotePrefix="0" xfId="0">
      <alignment horizontal="center" vertical="center" wrapText="1"/>
    </xf>
    <xf numFmtId="0" fontId="17" fillId="4" borderId="1" applyAlignment="1" pivotButton="0" quotePrefix="0" xfId="0">
      <alignment horizontal="center" vertical="center" wrapText="1"/>
    </xf>
    <xf numFmtId="0" fontId="18" fillId="4" borderId="1" applyAlignment="1" pivotButton="0" quotePrefix="0" xfId="0">
      <alignment horizontal="center" vertical="center" wrapText="1"/>
    </xf>
    <xf numFmtId="0" fontId="19" fillId="4" borderId="1" applyAlignment="1" pivotButton="0" quotePrefix="0" xfId="0">
      <alignment horizontal="center" vertical="center" wrapText="1"/>
    </xf>
    <xf numFmtId="0" fontId="20" fillId="8" borderId="6" applyAlignment="1" pivotButton="0" quotePrefix="0" xfId="0">
      <alignment horizontal="center" vertical="center" wrapText="1"/>
    </xf>
    <xf numFmtId="0" fontId="21" fillId="10" borderId="6" applyAlignment="1" pivotButton="0" quotePrefix="0" xfId="0">
      <alignment horizontal="center" vertical="center" wrapText="1"/>
    </xf>
    <xf numFmtId="0" fontId="24" fillId="9" borderId="6" applyAlignment="1" pivotButton="0" quotePrefix="0" xfId="0">
      <alignment horizontal="center" vertical="center" wrapText="1"/>
    </xf>
    <xf numFmtId="0" fontId="24" fillId="10" borderId="6" applyAlignment="1" pivotButton="0" quotePrefix="0" xfId="0">
      <alignment horizontal="center" vertical="center" wrapText="1"/>
    </xf>
    <xf numFmtId="0" fontId="0" fillId="12" borderId="0" pivotButton="0" quotePrefix="0" xfId="0"/>
    <xf numFmtId="0" fontId="21" fillId="12" borderId="6"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1" applyAlignment="1" pivotButton="0" quotePrefix="0" xfId="0">
      <alignment horizontal="center" vertical="center" wrapText="1"/>
    </xf>
    <xf numFmtId="0" fontId="0" fillId="0" borderId="0" pivotButton="0" quotePrefix="0" xfId="0"/>
    <xf numFmtId="0" fontId="23" fillId="9" borderId="6" applyAlignment="1" pivotButton="0" quotePrefix="0" xfId="0">
      <alignment horizontal="left" vertical="center"/>
    </xf>
    <xf numFmtId="0" fontId="0" fillId="0" borderId="7" pivotButton="0" quotePrefix="0" xfId="0"/>
    <xf numFmtId="0" fontId="0" fillId="0" borderId="8" pivotButton="0" quotePrefix="0" xfId="0"/>
    <xf numFmtId="0" fontId="22" fillId="11" borderId="6" applyAlignment="1" pivotButton="0" quotePrefix="0" xfId="0">
      <alignment horizontal="left" vertical="center" wrapText="1"/>
    </xf>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10" fillId="3" borderId="1" applyAlignment="1" pivotButton="0" quotePrefix="0" xfId="0">
      <alignment horizontal="center" vertical="center" wrapText="1"/>
    </xf>
    <xf numFmtId="0" fontId="9" fillId="7" borderId="1" applyAlignment="1" pivotButton="0" quotePrefix="0" xfId="0">
      <alignment horizontal="center" vertical="center" wrapText="1"/>
    </xf>
    <xf numFmtId="0" fontId="0" fillId="0" borderId="3" pivotButton="0" quotePrefix="0" xfId="0"/>
    <xf numFmtId="0" fontId="2" fillId="5" borderId="1" applyAlignment="1" pivotButton="0" quotePrefix="0" xfId="0">
      <alignment horizontal="center" vertical="center" wrapText="1"/>
    </xf>
    <xf numFmtId="0" fontId="0" fillId="0" borderId="2" pivotButton="0" quotePrefix="0" xfId="0"/>
    <xf numFmtId="0" fontId="15" fillId="3" borderId="1" applyAlignment="1" pivotButton="0" quotePrefix="0" xfId="0">
      <alignment horizontal="center" vertical="center" wrapText="1"/>
    </xf>
    <xf numFmtId="0" fontId="14" fillId="3" borderId="1" applyAlignment="1" pivotButton="0" quotePrefix="0" xfId="0">
      <alignment horizontal="center" vertical="center" wrapText="1"/>
    </xf>
    <xf numFmtId="0" fontId="25" fillId="8" borderId="0" applyAlignment="1" pivotButton="0" quotePrefix="0" xfId="0">
      <alignment horizontal="center" vertical="center" wrapText="1"/>
    </xf>
    <xf numFmtId="0" fontId="0" fillId="15" borderId="0" applyAlignment="1" pivotButton="0" quotePrefix="0" xfId="0">
      <alignment horizontal="center" vertical="center"/>
    </xf>
    <xf numFmtId="0" fontId="25" fillId="8" borderId="1" applyAlignment="1" pivotButton="0" quotePrefix="0" xfId="0">
      <alignment horizontal="center" vertical="center" wrapText="1"/>
    </xf>
    <xf numFmtId="0" fontId="26" fillId="0" borderId="0" pivotButton="0" quotePrefix="0" xfId="0"/>
    <xf numFmtId="0" fontId="26" fillId="15" borderId="1" applyAlignment="1" pivotButton="0" quotePrefix="0" xfId="0">
      <alignment horizontal="center" vertical="center" wrapText="1"/>
    </xf>
    <xf numFmtId="0" fontId="26" fillId="15" borderId="0" applyAlignment="1" pivotButton="0" quotePrefix="0" xfId="0">
      <alignment horizontal="center" vertical="center" wrapText="1"/>
    </xf>
    <xf numFmtId="0" fontId="26" fillId="0" borderId="0" applyAlignment="1" pivotButton="0" quotePrefix="0" xfId="0">
      <alignment horizontal="left" vertical="center" wrapText="1"/>
    </xf>
    <xf numFmtId="0" fontId="26" fillId="0" borderId="1" applyAlignment="1" pivotButton="0" quotePrefix="0" xfId="0">
      <alignment horizontal="center" vertical="center" wrapText="1"/>
    </xf>
    <xf numFmtId="0" fontId="0" fillId="15" borderId="0" applyAlignment="1" pivotButton="0" quotePrefix="0" xfId="0">
      <alignment horizontal="center"/>
    </xf>
  </cellXfs>
  <cellStyles count="2">
    <cellStyle name="Standard" xfId="0" builtinId="0"/>
    <cellStyle name="Standard 2" xfId="1"/>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8C1"/>
      <rgbColor rgb="FF808080"/>
      <rgbColor rgb="FF9999FF"/>
      <rgbColor rgb="FF993366"/>
      <rgbColor rgb="FFFFFFCC"/>
      <rgbColor rgb="FFEAF0FB"/>
      <rgbColor rgb="FF660066"/>
      <rgbColor rgb="FFFF8080"/>
      <rgbColor rgb="FF0066CC"/>
      <rgbColor rgb="FFD9D9D9"/>
      <rgbColor rgb="FF000080"/>
      <rgbColor rgb="FFFF00FF"/>
      <rgbColor rgb="FFFFFF00"/>
      <rgbColor rgb="FF00FFFF"/>
      <rgbColor rgb="FF800080"/>
      <rgbColor rgb="FF800000"/>
      <rgbColor rgb="FF008080"/>
      <rgbColor rgb="FF0000CD"/>
      <rgbColor rgb="FF00CCFF"/>
      <rgbColor rgb="FFD6E4F0"/>
      <rgbColor rgb="FFCCFFCC"/>
      <rgbColor rgb="FFFFFF99"/>
      <rgbColor rgb="FF99CCFF"/>
      <rgbColor rgb="FFFF99CC"/>
      <rgbColor rgb="FFCC99FF"/>
      <rgbColor rgb="FFFFCC99"/>
      <rgbColor rgb="FF3366FF"/>
      <rgbColor rgb="FF33CCCC"/>
      <rgbColor rgb="FF99CC00"/>
      <rgbColor rgb="FFFFCC00"/>
      <rgbColor rgb="FFFF9900"/>
      <rgbColor rgb="FFFF6B00"/>
      <rgbColor rgb="FF555555"/>
      <rgbColor rgb="FF969696"/>
      <rgbColor rgb="FF003366"/>
      <rgbColor rgb="FF339966"/>
      <rgbColor rgb="FF005500"/>
      <rgbColor rgb="FF333300"/>
      <rgbColor rgb="FFA040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5"/>
  <sheetViews>
    <sheetView zoomScale="85" zoomScaleNormal="85" workbookViewId="0">
      <pane ySplit="1" topLeftCell="A2" activePane="bottomLeft" state="frozen"/>
      <selection pane="bottomLeft" activeCell="L3" sqref="L3"/>
    </sheetView>
  </sheetViews>
  <sheetFormatPr baseColWidth="10" defaultColWidth="8.7265625" defaultRowHeight="14.25" customHeight="1"/>
  <cols>
    <col width="6" customWidth="1" style="43" min="1" max="1"/>
    <col width="38" customWidth="1" style="43" min="2" max="2"/>
    <col width="10" customWidth="1" style="43" min="3" max="3"/>
    <col width="16" customWidth="1" style="43" min="4" max="4"/>
    <col width="10" customWidth="1" style="43" min="5" max="6"/>
    <col width="24.1796875" bestFit="1" customWidth="1" style="43" min="7" max="7"/>
    <col width="14" customWidth="1" style="43" min="8" max="8"/>
    <col width="8" customWidth="1" style="43" min="9" max="9"/>
    <col width="30" customWidth="1" style="43" min="10" max="10"/>
    <col width="8" customWidth="1" style="43" min="11" max="11"/>
    <col width="35" customWidth="1" style="43" min="12" max="12"/>
    <col width="47.7265625" bestFit="1" customWidth="1" style="43" min="13" max="13"/>
    <col width="25" customWidth="1" style="43" min="14" max="14"/>
    <col width="10" customWidth="1" style="43" min="15" max="17"/>
    <col width="40" customWidth="1" style="43" min="18" max="18"/>
    <col width="12" customWidth="1" style="43" min="19" max="20"/>
  </cols>
  <sheetData>
    <row r="1" ht="21.75" customHeight="1" s="43">
      <c r="A1" s="1" t="inlineStr">
        <is>
          <t>ID</t>
        </is>
      </c>
      <c r="B1" s="1" t="inlineStr">
        <is>
          <t>CompanyName</t>
        </is>
      </c>
      <c r="C1" s="1" t="inlineStr">
        <is>
          <t>AgentType</t>
        </is>
      </c>
      <c r="D1" s="1" t="inlineStr">
        <is>
          <t>Material</t>
        </is>
      </c>
      <c r="E1" s="1" t="inlineStr">
        <is>
          <t>Latitude</t>
        </is>
      </c>
      <c r="F1" s="1" t="inlineStr">
        <is>
          <t>Longitude</t>
        </is>
      </c>
      <c r="G1" s="1" t="inlineStr">
        <is>
          <t>AvgSupplyOrDemand_tWeek</t>
        </is>
      </c>
      <c r="H1" s="1" t="inlineStr">
        <is>
          <t>Variability_fraction</t>
        </is>
      </c>
      <c r="I1" s="58" t="inlineStr">
        <is>
          <t>TruckCount</t>
        </is>
      </c>
      <c r="J1" s="1" t="inlineStr">
        <is>
          <t>VSIC_Code</t>
        </is>
      </c>
      <c r="K1" s="1" t="inlineStr">
        <is>
          <t>VSIC_Description</t>
        </is>
      </c>
      <c r="L1" s="1" t="inlineStr">
        <is>
          <t>NACE_Code</t>
        </is>
      </c>
      <c r="M1" s="1" t="inlineStr">
        <is>
          <t>BusinessActivity</t>
        </is>
      </c>
      <c r="N1" s="1" t="inlineStr">
        <is>
          <t>WasteProfile</t>
        </is>
      </c>
      <c r="O1" s="1" t="inlineStr">
        <is>
          <t>Address</t>
        </is>
      </c>
      <c r="P1" s="1" t="inlineStr">
        <is>
          <t>PostalCode</t>
        </is>
      </c>
      <c r="Q1" s="1" t="inlineStr">
        <is>
          <t>InVSIP1_PDF</t>
        </is>
      </c>
      <c r="R1" s="1" t="inlineStr">
        <is>
          <t>InFinneiss_DB</t>
        </is>
      </c>
      <c r="S1" s="1" t="inlineStr">
        <is>
          <t>Source</t>
        </is>
      </c>
      <c r="T1" s="1" t="inlineStr">
        <is>
          <t>CostPerTonne</t>
        </is>
      </c>
      <c r="U1" s="1" t="n"/>
    </row>
    <row r="2" ht="50" customHeight="1" s="43">
      <c r="A2" s="2" t="n">
        <v>37</v>
      </c>
      <c r="B2" s="2" t="inlineStr">
        <is>
          <t>CÔNG TY TNHH KINGMAKER FOOTWEAR</t>
        </is>
      </c>
      <c r="C2" s="2" t="inlineStr">
        <is>
          <t>Provider</t>
        </is>
      </c>
      <c r="D2" s="2" t="inlineStr">
        <is>
          <t>PLASTIC_SCRAP</t>
        </is>
      </c>
      <c r="E2" s="41" t="n">
        <v>10.931687</v>
      </c>
      <c r="F2" s="41" t="n">
        <v>106.715063</v>
      </c>
      <c r="G2" s="41" t="n">
        <v>3.3</v>
      </c>
      <c r="H2" s="41" t="n">
        <v>0.2</v>
      </c>
      <c r="I2" s="59" t="n">
        <v>5</v>
      </c>
      <c r="J2" s="2" t="n">
        <v>15200</v>
      </c>
      <c r="K2" s="2" t="inlineStr">
        <is>
          <t>Manufacture of footwear</t>
        </is>
      </c>
      <c r="L2" s="2" t="n">
        <v>1520</v>
      </c>
      <c r="M2" s="2" t="inlineStr">
        <is>
          <t>Manufactures and exports footwear products, including sports and casual shoes.</t>
        </is>
      </c>
      <c r="N2" s="2" t="inlineStr">
        <is>
          <t>- Leather and synthetic material scraps
- Adhesive and solvent waste
- Packaging waste
- Wastewater from cleaning processes</t>
        </is>
      </c>
      <c r="O2" s="2" t="inlineStr">
        <is>
          <t>12 ĐƯỜNG 3</t>
        </is>
      </c>
      <c r="P2" s="2" t="n">
        <v>75214</v>
      </c>
      <c r="Q2" s="2" t="inlineStr">
        <is>
          <t>Yes</t>
        </is>
      </c>
      <c r="R2" s="2" t="inlineStr">
        <is>
          <t>Yes</t>
        </is>
      </c>
      <c r="S2" s="2" t="inlineStr">
        <is>
          <t>Finneiss DB (exact); VSIP1 Company Directory PDF</t>
        </is>
      </c>
      <c r="T2" s="4" t="n"/>
      <c r="U2" s="4" t="n"/>
    </row>
    <row r="3" ht="50" customHeight="1" s="43">
      <c r="A3" s="5" t="n">
        <v>23</v>
      </c>
      <c r="B3" s="5" t="inlineStr">
        <is>
          <t>CÔNG TY TNHH TOMBOW VINA</t>
        </is>
      </c>
      <c r="C3" s="5" t="inlineStr">
        <is>
          <t>Provider</t>
        </is>
      </c>
      <c r="D3" s="5" t="inlineStr">
        <is>
          <t>PLASTIC_SCRAP</t>
        </is>
      </c>
      <c r="E3" s="42" t="n">
        <v>10.927688</v>
      </c>
      <c r="F3" s="42" t="n">
        <v>106.723687</v>
      </c>
      <c r="G3" s="42" t="n">
        <v>7</v>
      </c>
      <c r="H3" s="42" t="n">
        <v>0.2</v>
      </c>
      <c r="I3" s="59" t="n">
        <v>5</v>
      </c>
      <c r="J3" s="5" t="n">
        <v>32900</v>
      </c>
      <c r="K3" s="5" t="inlineStr">
        <is>
          <t>Other manufacturing n.e.c.</t>
        </is>
      </c>
      <c r="L3" s="5" t="n">
        <v>3299</v>
      </c>
      <c r="M3" s="5" t="inlineStr">
        <is>
          <t>Produces writing instruments such as pens and pencils.</t>
        </is>
      </c>
      <c r="N3" s="5" t="inlineStr">
        <is>
          <t>- Plastic and metal scraps
- Ink and solvent waste
- Packaging waste (e.g., paper boxes, plastic wraps)
- Wastewater from cleaning processes</t>
        </is>
      </c>
      <c r="O3" s="5" t="inlineStr">
        <is>
          <t>21 Đại lộ Độc lập</t>
        </is>
      </c>
      <c r="P3" s="5" t="n">
        <v>75214</v>
      </c>
      <c r="Q3" s="5" t="inlineStr">
        <is>
          <t>Yes</t>
        </is>
      </c>
      <c r="R3" s="5" t="inlineStr">
        <is>
          <t>Yes</t>
        </is>
      </c>
      <c r="S3" s="5" t="inlineStr">
        <is>
          <t>Finneiss DB (exact); VSIP1 Company Directory PDF</t>
        </is>
      </c>
      <c r="T3" s="7" t="n"/>
      <c r="U3" s="7" t="n"/>
    </row>
    <row r="4" ht="18" customHeight="1" s="43">
      <c r="A4" s="2" t="n">
        <v>64</v>
      </c>
      <c r="B4" s="2" t="inlineStr">
        <is>
          <t>CÔNG TY TNHH HTE VN</t>
        </is>
      </c>
      <c r="C4" s="2" t="inlineStr">
        <is>
          <t>Provider</t>
        </is>
      </c>
      <c r="D4" s="2" t="inlineStr">
        <is>
          <t>PLASTIC_SCRAP</t>
        </is>
      </c>
      <c r="E4" s="41" t="n">
        <v>10.932313</v>
      </c>
      <c r="F4" s="41" t="n">
        <v>106.722188</v>
      </c>
      <c r="G4" s="41" t="n">
        <v>3.1</v>
      </c>
      <c r="H4" s="41" t="n">
        <v>0.2</v>
      </c>
      <c r="I4" s="59" t="n">
        <v>5</v>
      </c>
      <c r="J4" s="2" t="n">
        <v>43290</v>
      </c>
      <c r="K4" s="2" t="inlineStr">
        <is>
          <t>Other construction installation activities</t>
        </is>
      </c>
      <c r="L4" s="2" t="n">
        <v>4329</v>
      </c>
      <c r="M4" s="2" t="inlineStr">
        <is>
          <t>Specializes in signage and landscape services.</t>
        </is>
      </c>
      <c r="N4" s="2" t="inlineStr">
        <is>
          <t>- Signage production waste
- Paint and solvent waste
- Packaging waste
- Wastewater from cleaning processes</t>
        </is>
      </c>
      <c r="O4" s="2" t="inlineStr">
        <is>
          <t>42 ĐƯỜNG 4</t>
        </is>
      </c>
      <c r="P4" s="2" t="n">
        <v>75214</v>
      </c>
      <c r="Q4" s="2" t="inlineStr">
        <is>
          <t>Yes</t>
        </is>
      </c>
      <c r="R4" s="2" t="inlineStr">
        <is>
          <t>Yes</t>
        </is>
      </c>
      <c r="S4" s="2" t="inlineStr">
        <is>
          <t>Finneiss DB (exact); VSIP1 Company Directory PDF</t>
        </is>
      </c>
      <c r="T4" s="4" t="n"/>
      <c r="U4" s="4" t="n"/>
    </row>
    <row r="5" ht="18" customHeight="1" s="43">
      <c r="A5" s="5" t="n">
        <v>14</v>
      </c>
      <c r="B5" s="5" t="inlineStr">
        <is>
          <t>CÔNG TY TNHH SX SƠN PHOENIX (VN)</t>
        </is>
      </c>
      <c r="C5" s="5" t="inlineStr">
        <is>
          <t>Provider</t>
        </is>
      </c>
      <c r="D5" s="5" t="inlineStr">
        <is>
          <t>PLASTIC_SCRAP</t>
        </is>
      </c>
      <c r="E5" s="42" t="n">
        <v>10.930187</v>
      </c>
      <c r="F5" s="42" t="n">
        <v>106.724312</v>
      </c>
      <c r="G5" s="42" t="n">
        <v>3.2</v>
      </c>
      <c r="H5" s="42" t="n">
        <v>0.2</v>
      </c>
      <c r="I5" s="59" t="n">
        <v>5</v>
      </c>
      <c r="J5" s="5" t="n">
        <v>20220</v>
      </c>
      <c r="K5" s="5" t="inlineStr">
        <is>
          <t>Manufacture of paints, varnishes and similar coatings, printing ink and mastics</t>
        </is>
      </c>
      <c r="L5" s="5" t="n">
        <v>2030</v>
      </c>
      <c r="M5" s="5" t="inlineStr">
        <is>
          <t>Produces industrial and decorative paints and coatings.</t>
        </is>
      </c>
      <c r="N5" s="5" t="inlineStr">
        <is>
          <t>- Chemical waste (solvents, pigments)
- Sludge from wastewater treatment
- Packaging waste (e.g., paint cans, drums)
- Air emissions (e.g., VOCs)</t>
        </is>
      </c>
      <c r="O5" s="5" t="inlineStr">
        <is>
          <t>16 đường 8</t>
        </is>
      </c>
      <c r="P5" s="5" t="n">
        <v>75214</v>
      </c>
      <c r="Q5" s="5" t="inlineStr">
        <is>
          <t>Yes</t>
        </is>
      </c>
      <c r="R5" s="5" t="inlineStr">
        <is>
          <t>Yes</t>
        </is>
      </c>
      <c r="S5" s="5" t="inlineStr">
        <is>
          <t>Finneiss DB (exact); VSIP1 Company Directory PDF</t>
        </is>
      </c>
      <c r="T5" s="7" t="n"/>
      <c r="U5" s="7" t="n"/>
    </row>
    <row r="6" ht="18" customHeight="1" s="43">
      <c r="A6" s="2" t="n">
        <v>70</v>
      </c>
      <c r="B6" s="2" t="inlineStr">
        <is>
          <t>VINA SHOWA CO., LTD</t>
        </is>
      </c>
      <c r="C6" s="2" t="inlineStr">
        <is>
          <t>Provider</t>
        </is>
      </c>
      <c r="D6" s="2" t="inlineStr">
        <is>
          <t>PLASTIC_SCRAP</t>
        </is>
      </c>
      <c r="E6" s="41" t="n">
        <v>10.924563</v>
      </c>
      <c r="F6" s="41" t="n">
        <v>106.725813</v>
      </c>
      <c r="G6" s="41" t="n">
        <v>5.3</v>
      </c>
      <c r="H6" s="41" t="n">
        <v>0.2</v>
      </c>
      <c r="I6" s="59" t="n">
        <v>5</v>
      </c>
      <c r="J6" s="2" t="n">
        <v>22209</v>
      </c>
      <c r="K6" s="2" t="inlineStr">
        <is>
          <t>Manufacture of other plastic products n.e.c.</t>
        </is>
      </c>
      <c r="L6" s="2" t="n">
        <v>2229</v>
      </c>
      <c r="M6" s="2" t="inlineStr">
        <is>
          <t>Manufactures PVC compounds and plastic components for medical, automotive, electrical, and construction applications.</t>
        </is>
      </c>
      <c r="N6" s="2" t="inlineStr">
        <is>
          <t>- Plastic scrap and offcuts
- Chemical waste from PVC processing
- Packaging waste
- Wastewater from cleaning processes</t>
        </is>
      </c>
      <c r="O6" s="2" t="inlineStr">
        <is>
          <t>23 Đại lộ Hữu Nghị</t>
        </is>
      </c>
      <c r="P6" s="2" t="n">
        <v>75214</v>
      </c>
      <c r="Q6" s="2" t="inlineStr">
        <is>
          <t>Yes</t>
        </is>
      </c>
      <c r="R6" s="2" t="inlineStr">
        <is>
          <t>Yes</t>
        </is>
      </c>
      <c r="S6" s="2" t="inlineStr">
        <is>
          <t>Finneiss DB (exact); VSIP1 Company Directory PDF</t>
        </is>
      </c>
      <c r="T6" s="4" t="n"/>
      <c r="U6" s="4" t="n"/>
    </row>
    <row r="7" ht="18" customHeight="1" s="43">
      <c r="A7" s="5" t="n">
        <v>43</v>
      </c>
      <c r="B7" s="5" t="inlineStr">
        <is>
          <t>CÔNG TY TNHH SCIENTEX TSUKASA</t>
        </is>
      </c>
      <c r="C7" s="5" t="inlineStr">
        <is>
          <t>Provider</t>
        </is>
      </c>
      <c r="D7" s="5" t="inlineStr">
        <is>
          <t>PLASTIC_SCRAP</t>
        </is>
      </c>
      <c r="E7" s="42" t="n">
        <v>10.924812</v>
      </c>
      <c r="F7" s="42" t="n">
        <v>106.728938</v>
      </c>
      <c r="G7" s="42" t="n">
        <v>2</v>
      </c>
      <c r="H7" s="42" t="n">
        <v>0.2</v>
      </c>
      <c r="I7" s="59" t="n">
        <v>5</v>
      </c>
      <c r="J7" s="5" t="n">
        <v>22209</v>
      </c>
      <c r="K7" s="5" t="inlineStr">
        <is>
          <t>Manufacture of other plastic products n.e.c.</t>
        </is>
      </c>
      <c r="L7" s="5" t="n">
        <v>2229</v>
      </c>
      <c r="M7" s="5" t="inlineStr">
        <is>
          <t>Produces woven polypropylene bags and packaging materials.</t>
        </is>
      </c>
      <c r="N7" s="5" t="inlineStr">
        <is>
          <t>- Plastic scrap and offcuts
- Chemical waste from printing processes
- Packaging waste
- Wastewater from cleaning processes</t>
        </is>
      </c>
      <c r="O7" s="5" t="inlineStr">
        <is>
          <t>33 Đại lộ Hữu Nghị</t>
        </is>
      </c>
      <c r="P7" s="5" t="n">
        <v>75209</v>
      </c>
      <c r="Q7" s="5" t="inlineStr">
        <is>
          <t>Yes</t>
        </is>
      </c>
      <c r="R7" s="5" t="inlineStr">
        <is>
          <t>Yes</t>
        </is>
      </c>
      <c r="S7" s="5" t="inlineStr">
        <is>
          <t>Finneiss DB (exact); VSIP1 Company Directory PDF</t>
        </is>
      </c>
      <c r="T7" s="7" t="n"/>
      <c r="U7" s="7" t="n"/>
    </row>
    <row r="8" ht="18" customHeight="1" s="43">
      <c r="A8" s="2" t="n">
        <v>7</v>
      </c>
      <c r="B8" s="2" t="inlineStr">
        <is>
          <t>DAILY MANY INT’L VIETNAM CO. LTD</t>
        </is>
      </c>
      <c r="C8" s="2" t="inlineStr">
        <is>
          <t>Provider</t>
        </is>
      </c>
      <c r="D8" s="2" t="inlineStr">
        <is>
          <t>PLASTIC_SCRAP</t>
        </is>
      </c>
      <c r="E8" s="41" t="n">
        <v>10.933113</v>
      </c>
      <c r="F8" s="41" t="n">
        <v>106.708203</v>
      </c>
      <c r="G8" s="41" t="n">
        <v>5.1</v>
      </c>
      <c r="H8" s="41" t="n">
        <v>0.2</v>
      </c>
      <c r="I8" s="59" t="n">
        <v>5</v>
      </c>
      <c r="J8" s="2" t="n">
        <v>22209</v>
      </c>
      <c r="K8" s="2" t="inlineStr">
        <is>
          <t>Manufacture of other plastic products n.e.c.</t>
        </is>
      </c>
      <c r="L8" s="2" t="n">
        <v>2229</v>
      </c>
      <c r="M8" s="2" t="inlineStr">
        <is>
          <t>Manufactures plastic products and electronic components.</t>
        </is>
      </c>
      <c r="N8" s="2" t="inlineStr">
        <is>
          <t>- Plastic scrap and offcuts
- Chemical waste from plastic processing
- Packaging waste (e.g., plastic films, boxes)
- Wastewater from cleaning processes</t>
        </is>
      </c>
      <c r="O8" s="2" t="inlineStr">
        <is>
          <t>8B đường 2A</t>
        </is>
      </c>
      <c r="P8" s="2" t="n">
        <v>75214</v>
      </c>
      <c r="Q8" s="2" t="inlineStr">
        <is>
          <t>Yes</t>
        </is>
      </c>
      <c r="R8" s="2" t="inlineStr">
        <is>
          <t>Yes</t>
        </is>
      </c>
      <c r="S8" s="2" t="inlineStr">
        <is>
          <t>Finneiss DB (exact); VSIP1 Company Directory PDF</t>
        </is>
      </c>
      <c r="T8" s="4" t="n"/>
      <c r="U8" s="4" t="n"/>
    </row>
    <row r="9" ht="18" customHeight="1" s="43">
      <c r="A9" s="5" t="n">
        <v>25</v>
      </c>
      <c r="B9" s="5" t="inlineStr">
        <is>
          <t>CÔNG TY TNHH SG TECHNOLOGY GLASS</t>
        </is>
      </c>
      <c r="C9" s="5" t="inlineStr">
        <is>
          <t>Provider</t>
        </is>
      </c>
      <c r="D9" s="5" t="inlineStr">
        <is>
          <t>PLASTIC_SCRAP</t>
        </is>
      </c>
      <c r="E9" s="42" t="n">
        <v>10.870812</v>
      </c>
      <c r="F9" s="42" t="n">
        <v>106.586687</v>
      </c>
      <c r="G9" s="42" t="n">
        <v>2.6</v>
      </c>
      <c r="H9" s="42" t="n">
        <v>0.2</v>
      </c>
      <c r="I9" s="59" t="n">
        <v>5</v>
      </c>
      <c r="J9" s="5" t="n">
        <v>23100</v>
      </c>
      <c r="K9" s="5" t="inlineStr">
        <is>
          <t>Manufacture of glass and glass products</t>
        </is>
      </c>
      <c r="L9" s="5" t="n">
        <v>2319</v>
      </c>
      <c r="M9" s="5" t="inlineStr">
        <is>
          <t>Produces glass products for industrial and construction applications.</t>
        </is>
      </c>
      <c r="N9" s="5" t="inlineStr">
        <is>
          <t>- Glass offcuts and defective products
- Chemical waste from glass processing
- Packaging waste (e.g., wooden crates, plastic films)
- Wastewater from cleaning processes</t>
        </is>
      </c>
      <c r="O9" s="5" t="inlineStr">
        <is>
          <t>11 đường 10</t>
        </is>
      </c>
      <c r="P9" s="5" t="n">
        <v>71717</v>
      </c>
      <c r="Q9" s="5" t="inlineStr">
        <is>
          <t>Yes</t>
        </is>
      </c>
      <c r="R9" s="5" t="inlineStr">
        <is>
          <t>Yes</t>
        </is>
      </c>
      <c r="S9" s="5" t="inlineStr">
        <is>
          <t>Finneiss DB (exact); VSIP1 Company Directory PDF</t>
        </is>
      </c>
      <c r="T9" s="7" t="n"/>
      <c r="U9" s="7" t="n"/>
    </row>
    <row r="10" ht="18" customHeight="1" s="43">
      <c r="A10" s="2" t="n">
        <v>16</v>
      </c>
      <c r="B10" s="2" t="inlineStr">
        <is>
          <t>CÔNG TY TNHH SƠN SEAMASTER (VN)</t>
        </is>
      </c>
      <c r="C10" s="2" t="inlineStr">
        <is>
          <t>Provider</t>
        </is>
      </c>
      <c r="D10" s="2" t="inlineStr">
        <is>
          <t>PLASTIC_SCRAP</t>
        </is>
      </c>
      <c r="E10" s="41" t="n">
        <v>10.935313</v>
      </c>
      <c r="F10" s="41" t="n">
        <v>106.717062</v>
      </c>
      <c r="G10" s="41" t="n">
        <v>0.5</v>
      </c>
      <c r="H10" s="41" t="n">
        <v>0.2</v>
      </c>
      <c r="I10" s="59" t="n">
        <v>5</v>
      </c>
      <c r="J10" s="2" t="n">
        <v>20220</v>
      </c>
      <c r="K10" s="2" t="inlineStr">
        <is>
          <t>Manufacture of paints, varnishes and similar coatings, printing ink and mastics</t>
        </is>
      </c>
      <c r="L10" s="2" t="n">
        <v>2030</v>
      </c>
      <c r="M10" s="2" t="inlineStr">
        <is>
          <t>Produces a wide range of industrial and decorative paints.</t>
        </is>
      </c>
      <c r="N10" s="2" t="inlineStr">
        <is>
          <t>- Solvent and pigment waste
- Sludge from wastewater treatment
- Packaging waste (paint cans, barrels)
- VOC emissions</t>
        </is>
      </c>
      <c r="O10" s="2" t="inlineStr">
        <is>
          <t>16 Đại lộ tự do</t>
        </is>
      </c>
      <c r="P10" s="2" t="n">
        <v>75209</v>
      </c>
      <c r="Q10" s="2" t="inlineStr">
        <is>
          <t>Yes</t>
        </is>
      </c>
      <c r="R10" s="2" t="inlineStr">
        <is>
          <t>Yes</t>
        </is>
      </c>
      <c r="S10" s="2" t="inlineStr">
        <is>
          <t>Finneiss DB (exact); VSIP1 Company Directory PDF</t>
        </is>
      </c>
      <c r="T10" s="4" t="n"/>
      <c r="U10" s="4" t="n"/>
    </row>
    <row r="11" ht="18" customHeight="1" s="43">
      <c r="A11" s="5" t="n">
        <v>54</v>
      </c>
      <c r="B11" s="5" t="inlineStr">
        <is>
          <t>CÔNG TY TNHH PHIL INTER PHARMA</t>
        </is>
      </c>
      <c r="C11" s="5" t="inlineStr">
        <is>
          <t>Provider</t>
        </is>
      </c>
      <c r="D11" s="5" t="inlineStr">
        <is>
          <t>PLASTIC_SCRAP</t>
        </is>
      </c>
      <c r="E11" s="42" t="n">
        <v>10.924812</v>
      </c>
      <c r="F11" s="42" t="n">
        <v>106.719813</v>
      </c>
      <c r="G11" s="42" t="n">
        <v>4.3</v>
      </c>
      <c r="H11" s="42" t="n">
        <v>0.2</v>
      </c>
      <c r="I11" s="59" t="n">
        <v>5</v>
      </c>
      <c r="J11" s="5" t="n">
        <v>21001</v>
      </c>
      <c r="K11" s="5" t="inlineStr">
        <is>
          <t>Manufacture of pharmaceutical preparations</t>
        </is>
      </c>
      <c r="L11" s="5" t="n">
        <v>2120</v>
      </c>
      <c r="M11" s="5" t="inlineStr">
        <is>
          <t>Manufactures pharmaceutical products, including tablets, capsules, and syrups.</t>
        </is>
      </c>
      <c r="N11" s="5" t="inlineStr">
        <is>
          <t>- Chemical waste
- Expired pharmaceutical products
- Packaging waste
- Wastewater containing active pharmaceutical ingredients</t>
        </is>
      </c>
      <c r="O11" s="5" t="inlineStr">
        <is>
          <t>25 ĐƯỜNG 8</t>
        </is>
      </c>
      <c r="P11" s="5" t="n">
        <v>75214</v>
      </c>
      <c r="Q11" s="5" t="inlineStr">
        <is>
          <t>No</t>
        </is>
      </c>
      <c r="R11" s="5" t="inlineStr">
        <is>
          <t>Yes</t>
        </is>
      </c>
      <c r="S11" s="5" t="inlineStr">
        <is>
          <t>Finneiss DB (exact)</t>
        </is>
      </c>
      <c r="T11" s="7" t="n"/>
      <c r="U11" s="7" t="n"/>
    </row>
    <row r="12" ht="50" customHeight="1" s="43">
      <c r="A12" s="5" t="n">
        <v>4</v>
      </c>
      <c r="B12" s="5" t="inlineStr">
        <is>
          <t>CÔNG TY CP CÔNG NGHỆ SINH HỌC DƯỢC PHẨM ICA</t>
        </is>
      </c>
      <c r="C12" s="5" t="inlineStr">
        <is>
          <t>Provider</t>
        </is>
      </c>
      <c r="D12" s="5" t="inlineStr">
        <is>
          <t>PLASTIC_SCRAP</t>
        </is>
      </c>
      <c r="E12" s="42" t="n">
        <v>10.932937</v>
      </c>
      <c r="F12" s="42" t="n">
        <v>106.718688</v>
      </c>
      <c r="G12" s="42" t="n">
        <v>6.15</v>
      </c>
      <c r="H12" s="42" t="n">
        <v>0.2</v>
      </c>
      <c r="I12" s="59" t="n">
        <v>5</v>
      </c>
      <c r="J12" s="5" t="n">
        <v>21001</v>
      </c>
      <c r="K12" s="5" t="inlineStr">
        <is>
          <t>Manufacture of pharmaceutical preparations</t>
        </is>
      </c>
      <c r="L12" s="5" t="n">
        <v>2120</v>
      </c>
      <c r="M12" s="5" t="inlineStr">
        <is>
          <t>Develops and manufactures pharmaceutical and biotechnology products.</t>
        </is>
      </c>
      <c r="N12" s="5" t="inlineStr">
        <is>
          <t>- Chemical waste from pharmaceutical production
- Expired or unused pharmaceutical products
- Packaging waste (e.g., blister packs, bottles)
- Wastewater containing active pharmaceutical ingredients</t>
        </is>
      </c>
      <c r="O12" s="5" t="inlineStr">
        <is>
          <t>Lô 10 đường 5</t>
        </is>
      </c>
      <c r="P12" s="5" t="n">
        <v>75214</v>
      </c>
      <c r="Q12" s="5" t="inlineStr">
        <is>
          <t>Yes</t>
        </is>
      </c>
      <c r="R12" s="5" t="inlineStr">
        <is>
          <t>Yes</t>
        </is>
      </c>
      <c r="S12" s="5" t="inlineStr">
        <is>
          <t>Finneiss DB (exact); VSIP1 Company Directory PDF</t>
        </is>
      </c>
      <c r="T12" s="7" t="n"/>
      <c r="U12" s="7" t="n"/>
    </row>
    <row r="13" ht="18" customHeight="1" s="43">
      <c r="A13" s="5" t="n">
        <v>68</v>
      </c>
      <c r="B13" s="5" t="inlineStr">
        <is>
          <t>CÔNG TY TNHH SHOWA GLOVES VN</t>
        </is>
      </c>
      <c r="C13" s="5" t="inlineStr">
        <is>
          <t>Provider</t>
        </is>
      </c>
      <c r="D13" s="5" t="inlineStr">
        <is>
          <t>PLASTIC_SCRAP</t>
        </is>
      </c>
      <c r="E13" s="42" t="n">
        <v>10.933813</v>
      </c>
      <c r="F13" s="42" t="n">
        <v>106.725687</v>
      </c>
      <c r="G13" s="42" t="n">
        <v>1.2</v>
      </c>
      <c r="H13" s="42" t="n">
        <v>0.2</v>
      </c>
      <c r="I13" s="59" t="n">
        <v>5</v>
      </c>
      <c r="J13" s="5" t="n">
        <v>22120</v>
      </c>
      <c r="K13" s="5" t="inlineStr">
        <is>
          <t>Manufacture of rubber products</t>
        </is>
      </c>
      <c r="L13" s="5" t="n">
        <v>2219</v>
      </c>
      <c r="M13" s="5" t="inlineStr">
        <is>
          <t>Manufactures industrial and medical protective gloves.</t>
        </is>
      </c>
      <c r="N13" s="5" t="inlineStr">
        <is>
          <t>- Rubber waste (defective gloves, trimmings)
- Chemical waste from glove production
- Packaging waste
- Wastewater from cleaning processes</t>
        </is>
      </c>
      <c r="O13" s="5" t="inlineStr">
        <is>
          <t>23 Đại lộ tự do</t>
        </is>
      </c>
      <c r="P13" s="5" t="n">
        <v>75256</v>
      </c>
      <c r="Q13" s="5" t="inlineStr">
        <is>
          <t>Yes</t>
        </is>
      </c>
      <c r="R13" s="5" t="inlineStr">
        <is>
          <t>Yes</t>
        </is>
      </c>
      <c r="S13" s="5" t="inlineStr">
        <is>
          <t>Finneiss DB (exact); VSIP1 Company Directory PDF</t>
        </is>
      </c>
      <c r="T13" s="7" t="n"/>
      <c r="U13" s="7" t="n"/>
    </row>
    <row r="14" ht="18" customHeight="1" s="43">
      <c r="A14" s="2" t="n">
        <v>41</v>
      </c>
      <c r="B14" s="2" t="inlineStr">
        <is>
          <t>CÔNG TY TNHH CLARIANT (VN)</t>
        </is>
      </c>
      <c r="C14" s="2" t="inlineStr">
        <is>
          <t>Provider</t>
        </is>
      </c>
      <c r="D14" s="2" t="inlineStr">
        <is>
          <t>PLASTIC_SCRAP</t>
        </is>
      </c>
      <c r="E14" s="41" t="n">
        <v>10.764188</v>
      </c>
      <c r="F14" s="41" t="n">
        <v>106.696812</v>
      </c>
      <c r="G14" s="41" t="n">
        <v>5</v>
      </c>
      <c r="H14" s="41" t="n">
        <v>0.2</v>
      </c>
      <c r="I14" s="59" t="n">
        <v>5</v>
      </c>
      <c r="J14" s="2" t="n">
        <v>20290</v>
      </c>
      <c r="K14" s="2" t="inlineStr">
        <is>
          <t>Manufacture of other chemical products n.e.c.</t>
        </is>
      </c>
      <c r="L14" s="2" t="n">
        <v>2059</v>
      </c>
      <c r="M14" s="2" t="inlineStr">
        <is>
          <t>Produces specialty chemicals for various industries.</t>
        </is>
      </c>
      <c r="N14" s="2" t="inlineStr">
        <is>
          <t>- Chemical waste
- Packaging waste
- Wastewater with chemical residues
- Air emissions (e.g., VOCs)</t>
        </is>
      </c>
      <c r="O14" s="2" t="inlineStr">
        <is>
          <t>LÔ 3 ĐƯỜNG 2</t>
        </is>
      </c>
      <c r="P14" s="2" t="n">
        <v>71010</v>
      </c>
      <c r="Q14" s="2" t="inlineStr">
        <is>
          <t>Yes</t>
        </is>
      </c>
      <c r="R14" s="2" t="inlineStr">
        <is>
          <t>Yes</t>
        </is>
      </c>
      <c r="S14" s="2" t="inlineStr">
        <is>
          <t>Finneiss DB (exact); VSIP1 Company Directory PDF</t>
        </is>
      </c>
      <c r="T14" s="4" t="n"/>
      <c r="U14" s="4" t="n"/>
    </row>
    <row r="15" ht="18" customHeight="1" s="43">
      <c r="A15" s="5" t="n">
        <v>45</v>
      </c>
      <c r="B15" s="5" t="inlineStr">
        <is>
          <t>CÔNG TY TNHH NATIONAL STARCH VÀ CHEMICAL VN</t>
        </is>
      </c>
      <c r="C15" s="5" t="inlineStr">
        <is>
          <t>Provider</t>
        </is>
      </c>
      <c r="D15" s="5" t="inlineStr">
        <is>
          <t>PLASTIC_SCRAP</t>
        </is>
      </c>
      <c r="E15" s="40" t="n">
        <v>10.9315</v>
      </c>
      <c r="F15" s="40" t="n">
        <v>106.7185</v>
      </c>
      <c r="G15" s="40" t="n">
        <v>1.4</v>
      </c>
      <c r="H15" s="40" t="n">
        <v>0.2</v>
      </c>
      <c r="I15" s="59" t="n">
        <v>5</v>
      </c>
      <c r="J15" s="5" t="n">
        <v>20290</v>
      </c>
      <c r="K15" s="5" t="inlineStr">
        <is>
          <t>Manufacture of other chemical products n.e.c.</t>
        </is>
      </c>
      <c r="L15" s="5" t="n">
        <v>2059</v>
      </c>
      <c r="M15" s="5" t="inlineStr">
        <is>
          <t>Produces specialty starches and chemical additives for various industries.</t>
        </is>
      </c>
      <c r="N15" s="5" t="inlineStr">
        <is>
          <t>- Chemical waste from production processes
- Packaging waste
- Wastewater containing chemical residues
- Air emissions (e.g., VOCs)</t>
        </is>
      </c>
      <c r="O15" s="5" t="inlineStr">
        <is>
          <t>23-25 ĐƯỜNG 2</t>
        </is>
      </c>
      <c r="P15" s="5" t="inlineStr">
        <is>
          <t>N/A</t>
        </is>
      </c>
      <c r="Q15" s="5" t="inlineStr">
        <is>
          <t>Yes</t>
        </is>
      </c>
      <c r="R15" s="5" t="inlineStr">
        <is>
          <t>Yes</t>
        </is>
      </c>
      <c r="S15" s="5" t="inlineStr">
        <is>
          <t>Finneiss DB (exact); VSIP1 Company Directory PDF</t>
        </is>
      </c>
      <c r="T15" s="7" t="n"/>
      <c r="U15" s="7" t="n"/>
    </row>
    <row r="16" ht="18" customHeight="1" s="43">
      <c r="A16" s="5" t="n">
        <v>18</v>
      </c>
      <c r="B16" s="5" t="inlineStr">
        <is>
          <t>CÔNG TY TNHH SV PROBE VIỆT NAM</t>
        </is>
      </c>
      <c r="C16" s="5" t="inlineStr">
        <is>
          <t>Provider</t>
        </is>
      </c>
      <c r="D16" s="5" t="inlineStr">
        <is>
          <t>PLASTIC_SCRAP</t>
        </is>
      </c>
      <c r="E16" s="42" t="n">
        <v>10.936937</v>
      </c>
      <c r="F16" s="42" t="n">
        <v>106.731687</v>
      </c>
      <c r="G16" s="42" t="n">
        <v>1.1</v>
      </c>
      <c r="H16" s="42" t="n">
        <v>0.2</v>
      </c>
      <c r="I16" s="59" t="n">
        <v>5</v>
      </c>
      <c r="J16" s="5" t="n">
        <v>26510</v>
      </c>
      <c r="K16" s="5" t="inlineStr">
        <is>
          <t>Manufacture of measuring, testing, navigating and control equipment</t>
        </is>
      </c>
      <c r="L16" s="5" t="n">
        <v>2651</v>
      </c>
      <c r="M16" s="5" t="inlineStr">
        <is>
          <t>Designs and manufactures probe cards and test interfaces for the semiconductor industry.</t>
        </is>
      </c>
      <c r="N16" s="5" t="inlineStr">
        <is>
          <t>- Electronic waste (defective components, circuit boards)
- Chemical waste from manufacturing processes
- Packaging waste (e.g., antistatic bags, boxes)
- Wastewater from cleaning processes</t>
        </is>
      </c>
      <c r="O16" s="5" t="inlineStr">
        <is>
          <t>37A đường 6</t>
        </is>
      </c>
      <c r="P16" s="5" t="n">
        <v>75209</v>
      </c>
      <c r="Q16" s="5" t="inlineStr">
        <is>
          <t>Yes</t>
        </is>
      </c>
      <c r="R16" s="5" t="inlineStr">
        <is>
          <t>Yes</t>
        </is>
      </c>
      <c r="S16" s="5" t="inlineStr">
        <is>
          <t>Finneiss DB (exact); VSIP1 Company Directory PDF</t>
        </is>
      </c>
      <c r="T16" s="7" t="n"/>
      <c r="U16" s="7" t="n"/>
    </row>
    <row r="17" ht="18" customHeight="1" s="43">
      <c r="A17" s="2" t="n">
        <v>55</v>
      </c>
      <c r="B17" s="2" t="inlineStr">
        <is>
          <t>CÔNG TY TNHH BIC JAPAN</t>
        </is>
      </c>
      <c r="C17" s="2" t="inlineStr">
        <is>
          <t>Provider</t>
        </is>
      </c>
      <c r="D17" s="2" t="inlineStr">
        <is>
          <t>PLASTIC_SCRAP</t>
        </is>
      </c>
      <c r="E17" s="41" t="n">
        <v>10.935313</v>
      </c>
      <c r="F17" s="41" t="n">
        <v>106.727063</v>
      </c>
      <c r="G17" s="41" t="n">
        <v>6.9</v>
      </c>
      <c r="H17" s="41" t="n">
        <v>0.2</v>
      </c>
      <c r="I17" s="59" t="n">
        <v>5</v>
      </c>
      <c r="J17" s="2" t="n">
        <v>46599</v>
      </c>
      <c r="K17" s="2" t="inlineStr">
        <is>
          <t>Wholesale of other machinery and equipment n.e.c.</t>
        </is>
      </c>
      <c r="L17" s="2" t="n">
        <v>4669</v>
      </c>
      <c r="M17" s="2" t="inlineStr">
        <is>
          <t>Imports and distributes industrial equipment and components.</t>
        </is>
      </c>
      <c r="N17" s="2" t="inlineStr">
        <is>
          <t>- Packaging waste
- Electronic waste
- General office waste</t>
        </is>
      </c>
      <c r="O17" s="2" t="inlineStr">
        <is>
          <t>30A Đại lộ tự do</t>
        </is>
      </c>
      <c r="P17" s="2" t="n">
        <v>75209</v>
      </c>
      <c r="Q17" s="2" t="inlineStr">
        <is>
          <t>No</t>
        </is>
      </c>
      <c r="R17" s="2" t="inlineStr">
        <is>
          <t>Yes</t>
        </is>
      </c>
      <c r="S17" s="2" t="inlineStr">
        <is>
          <t>Finneiss DB (exact)</t>
        </is>
      </c>
      <c r="T17" s="4" t="n"/>
      <c r="U17" s="4" t="n"/>
    </row>
    <row r="18" ht="18" customHeight="1" s="43">
      <c r="A18" s="5" t="n">
        <v>34</v>
      </c>
      <c r="B18" s="5" t="inlineStr">
        <is>
          <t>CÔNG TY TNHH VISION INT’L</t>
        </is>
      </c>
      <c r="C18" s="5" t="inlineStr">
        <is>
          <t>Provider</t>
        </is>
      </c>
      <c r="D18" s="5" t="inlineStr">
        <is>
          <t>PLASTIC_SCRAP</t>
        </is>
      </c>
      <c r="E18" s="42" t="n">
        <v>10.924563</v>
      </c>
      <c r="F18" s="42" t="n">
        <v>106.723562</v>
      </c>
      <c r="G18" s="42" t="n">
        <v>0.4</v>
      </c>
      <c r="H18" s="42" t="n">
        <v>0.2</v>
      </c>
      <c r="I18" s="59" t="n">
        <v>5</v>
      </c>
      <c r="J18" s="5" t="n">
        <v>32501</v>
      </c>
      <c r="K18" s="5" t="inlineStr">
        <is>
          <t>Manufacture of optical instruments and photographic equipment</t>
        </is>
      </c>
      <c r="L18" s="5" t="n">
        <v>2670</v>
      </c>
      <c r="M18" s="5" t="inlineStr">
        <is>
          <t>Produces optical lenses and related products.</t>
        </is>
      </c>
      <c r="N18" s="5" t="inlineStr">
        <is>
          <t>- Glass and plastic waste
- Chemical waste from coating
- Packaging waste
- Wastewater from cleaning processes</t>
        </is>
      </c>
      <c r="O18" s="5" t="inlineStr">
        <is>
          <t>9 Đại lộ Hữu Nghị</t>
        </is>
      </c>
      <c r="P18" s="5" t="n">
        <v>75214</v>
      </c>
      <c r="Q18" s="5" t="inlineStr">
        <is>
          <t>Yes</t>
        </is>
      </c>
      <c r="R18" s="5" t="inlineStr">
        <is>
          <t>Yes</t>
        </is>
      </c>
      <c r="S18" s="5" t="inlineStr">
        <is>
          <t>Finneiss DB (exact); VSIP1 Company Directory PDF</t>
        </is>
      </c>
      <c r="T18" s="7" t="n"/>
      <c r="U18" s="7" t="n"/>
    </row>
    <row r="19" ht="18" customHeight="1" s="43">
      <c r="A19" s="2" t="n">
        <v>63</v>
      </c>
      <c r="B19" s="2" t="inlineStr">
        <is>
          <t>CÔNG TY TNHH AECO-PACK PLASTIC</t>
        </is>
      </c>
      <c r="C19" s="2" t="inlineStr">
        <is>
          <t>Provider</t>
        </is>
      </c>
      <c r="D19" s="2" t="inlineStr">
        <is>
          <t>PLASTIC_SCRAP</t>
        </is>
      </c>
      <c r="E19" s="41" t="n">
        <v>10.932562</v>
      </c>
      <c r="F19" s="41" t="n">
        <v>106.730187</v>
      </c>
      <c r="G19" s="41" t="n">
        <v>7.8</v>
      </c>
      <c r="H19" s="41" t="n">
        <v>0.2</v>
      </c>
      <c r="I19" s="59" t="n">
        <v>5</v>
      </c>
      <c r="J19" s="2" t="n">
        <v>22202</v>
      </c>
      <c r="K19" s="2" t="inlineStr">
        <is>
          <t>Manufacture of plastic packing goods</t>
        </is>
      </c>
      <c r="L19" s="2" t="n">
        <v>2222</v>
      </c>
      <c r="M19" s="2" t="inlineStr">
        <is>
          <t>Manufactures flexible plastic packaging for food and industrial products.</t>
        </is>
      </c>
      <c r="N19" s="2" t="inlineStr">
        <is>
          <t>- Plastic scraps
- Ink and solvent waste
- Packaging waste
- Wastewater from printing and cleaning</t>
        </is>
      </c>
      <c r="O19" s="2" t="inlineStr">
        <is>
          <t>8 ĐƯỜNG 10</t>
        </is>
      </c>
      <c r="P19" s="2" t="n">
        <v>75209</v>
      </c>
      <c r="Q19" s="2" t="inlineStr">
        <is>
          <t>No</t>
        </is>
      </c>
      <c r="R19" s="2" t="inlineStr">
        <is>
          <t>Yes</t>
        </is>
      </c>
      <c r="S19" s="2" t="inlineStr">
        <is>
          <t>Finneiss DB (exact)</t>
        </is>
      </c>
      <c r="T19" s="4" t="n"/>
      <c r="U19" s="4" t="n"/>
    </row>
    <row r="20" ht="18" customHeight="1" s="43">
      <c r="A20" s="5" t="n">
        <v>1</v>
      </c>
      <c r="B20" s="5" t="inlineStr">
        <is>
          <t>CÔNG TY TNHH VIỆT NAM PARKERIZING</t>
        </is>
      </c>
      <c r="C20" s="5" t="inlineStr">
        <is>
          <t>Provider</t>
        </is>
      </c>
      <c r="D20" s="5" t="inlineStr">
        <is>
          <t>PLASTIC_SCRAP</t>
        </is>
      </c>
      <c r="E20" s="42" t="n">
        <v>10.927563</v>
      </c>
      <c r="F20" s="42" t="n">
        <v>106.716813</v>
      </c>
      <c r="G20" s="42" t="n">
        <v>4.1</v>
      </c>
      <c r="H20" s="42" t="n">
        <v>0.2</v>
      </c>
      <c r="I20" s="59" t="n">
        <v>5</v>
      </c>
      <c r="J20" s="5" t="n">
        <v>20290</v>
      </c>
      <c r="K20" s="5" t="inlineStr">
        <is>
          <t>Manufacture of other chemical products n.e.c.</t>
        </is>
      </c>
      <c r="L20" s="5" t="n">
        <v>2059</v>
      </c>
      <c r="M20" s="5" t="inlineStr">
        <is>
          <t>Specializes in manufacturing chemical products for metal surface treatment and corrosion prevention; also offers design and technical consulting.</t>
        </is>
      </c>
      <c r="N20" s="5" t="inlineStr">
        <is>
          <t>- Chemical waste (acids, alkalis, surface treatment chemicals)
- Sludge from wastewater treatment
- Packaging waste (chemical containers)
- Air emissions (e.g., VOCs)</t>
        </is>
      </c>
      <c r="O20" s="5" t="inlineStr">
        <is>
          <t>12 Đại lộ Độc lập</t>
        </is>
      </c>
      <c r="P20" s="5" t="n">
        <v>75214</v>
      </c>
      <c r="Q20" s="5" t="inlineStr">
        <is>
          <t>Yes</t>
        </is>
      </c>
      <c r="R20" s="5" t="inlineStr">
        <is>
          <t>Yes</t>
        </is>
      </c>
      <c r="S20" s="5" t="inlineStr">
        <is>
          <t>Finneiss DB (exact); VSIP1 Company Directory PDF</t>
        </is>
      </c>
      <c r="T20" s="7" t="n"/>
      <c r="U20" s="7" t="n"/>
    </row>
    <row r="21" ht="18" customHeight="1" s="43">
      <c r="A21" s="2" t="n">
        <v>42</v>
      </c>
      <c r="B21" s="2" t="inlineStr">
        <is>
          <t>CÔNG TY CP DƯỢC PHẨM GLOMED</t>
        </is>
      </c>
      <c r="C21" s="2" t="inlineStr">
        <is>
          <t>Provider</t>
        </is>
      </c>
      <c r="D21" s="2" t="inlineStr">
        <is>
          <t>PLASTIC_SCRAP</t>
        </is>
      </c>
      <c r="E21" s="41" t="n">
        <v>10.934938</v>
      </c>
      <c r="F21" s="41" t="n">
        <v>106.734437</v>
      </c>
      <c r="G21" s="41" t="n">
        <v>6.6</v>
      </c>
      <c r="H21" s="41" t="n">
        <v>0.2</v>
      </c>
      <c r="I21" s="59" t="n">
        <v>5</v>
      </c>
      <c r="J21" s="2" t="n">
        <v>21001</v>
      </c>
      <c r="K21" s="2" t="inlineStr">
        <is>
          <t>Manufacture of pharmaceutical preparations</t>
        </is>
      </c>
      <c r="L21" s="2" t="n">
        <v>2120</v>
      </c>
      <c r="M21" s="2" t="inlineStr">
        <is>
          <t>Manufactures pharmaceutical products, including tablets, capsules, and syrups.</t>
        </is>
      </c>
      <c r="N21" s="2" t="inlineStr">
        <is>
          <t>- Chemical waste from pharmaceutical production
- Expired or unused pharmaceutical products
- Packaging waste
- Wastewater containing active pharmaceutical ingredients</t>
        </is>
      </c>
      <c r="O21" s="2" t="inlineStr">
        <is>
          <t>35 Đại lộ tự do</t>
        </is>
      </c>
      <c r="P21" s="2" t="n">
        <v>75209</v>
      </c>
      <c r="Q21" s="2" t="inlineStr">
        <is>
          <t>Yes</t>
        </is>
      </c>
      <c r="R21" s="2" t="inlineStr">
        <is>
          <t>Yes</t>
        </is>
      </c>
      <c r="S21" s="2" t="inlineStr">
        <is>
          <t>Finneiss DB (exact); VSIP1 Company Directory PDF</t>
        </is>
      </c>
      <c r="T21" s="4" t="n"/>
      <c r="U21" s="4" t="n"/>
    </row>
    <row r="22" ht="18" customHeight="1" s="43">
      <c r="A22" s="5" t="n">
        <v>51</v>
      </c>
      <c r="B22" s="5" t="inlineStr">
        <is>
          <t>CÔNG TY TNHH PHONAK OPERATION CENTRE VN</t>
        </is>
      </c>
      <c r="C22" s="5" t="inlineStr">
        <is>
          <t>Provider</t>
        </is>
      </c>
      <c r="D22" s="5" t="inlineStr">
        <is>
          <t>PLASTIC_SCRAP</t>
        </is>
      </c>
      <c r="E22" s="42" t="n">
        <v>10.928062</v>
      </c>
      <c r="F22" s="42" t="n">
        <v>106.729438</v>
      </c>
      <c r="G22" s="42" t="n">
        <v>0.2</v>
      </c>
      <c r="H22" s="42" t="n">
        <v>0.2</v>
      </c>
      <c r="I22" s="59" t="n">
        <v>5</v>
      </c>
      <c r="J22" s="5" t="n">
        <v>26600</v>
      </c>
      <c r="K22" s="5" t="inlineStr">
        <is>
          <t>Manufacture of irradiation, electromedical and electrotherapeutic equipment</t>
        </is>
      </c>
      <c r="L22" s="5" t="n">
        <v>2660</v>
      </c>
      <c r="M22" s="5" t="inlineStr">
        <is>
          <t>Manufactures hearing aids and related audio devices.</t>
        </is>
      </c>
      <c r="N22" s="5" t="inlineStr">
        <is>
          <t>- Electronic waste
- Chemical waste from cleaning processes
- Packaging waste
- Wastewater from cleaning processes</t>
        </is>
      </c>
      <c r="O22" s="5" t="inlineStr">
        <is>
          <t>41 ĐƯỜNG 8</t>
        </is>
      </c>
      <c r="P22" s="5" t="n">
        <v>75209</v>
      </c>
      <c r="Q22" s="5" t="inlineStr">
        <is>
          <t>No</t>
        </is>
      </c>
      <c r="R22" s="5" t="inlineStr">
        <is>
          <t>Yes</t>
        </is>
      </c>
      <c r="S22" s="5" t="inlineStr">
        <is>
          <t>Finneiss DB (exact)</t>
        </is>
      </c>
      <c r="T22" s="7" t="n"/>
      <c r="U22" s="7" t="n"/>
    </row>
    <row r="23" ht="18" customHeight="1" s="43">
      <c r="A23" s="2" t="n">
        <v>57</v>
      </c>
      <c r="B23" s="2" t="inlineStr">
        <is>
          <t>CÔNG TY TNHH BIO INT’L</t>
        </is>
      </c>
      <c r="C23" s="2" t="inlineStr">
        <is>
          <t>Provider</t>
        </is>
      </c>
      <c r="D23" s="2" t="inlineStr">
        <is>
          <t>PLASTIC_SCRAP</t>
        </is>
      </c>
      <c r="E23" s="41" t="n">
        <v>10.928187</v>
      </c>
      <c r="F23" s="41" t="n">
        <v>106.732687</v>
      </c>
      <c r="G23" s="41" t="n">
        <v>9</v>
      </c>
      <c r="H23" s="41" t="n">
        <v>0.2</v>
      </c>
      <c r="I23" s="59" t="n">
        <v>5</v>
      </c>
      <c r="J23" s="2" t="n">
        <v>21002</v>
      </c>
      <c r="K23" s="2" t="inlineStr">
        <is>
          <t>Manufacture of pharmaceutical preparations</t>
        </is>
      </c>
      <c r="L23" s="2" t="n">
        <v>2110</v>
      </c>
      <c r="M23" s="2" t="inlineStr">
        <is>
          <t>Produces dietary supplements and health food products.</t>
        </is>
      </c>
      <c r="N23" s="2" t="inlineStr">
        <is>
          <t>- Organic waste
- Packaging waste
- Wastewater from cleaning operations</t>
        </is>
      </c>
      <c r="O23" s="2" t="inlineStr">
        <is>
          <t>70 Đại lộ Độc lập</t>
        </is>
      </c>
      <c r="P23" s="2" t="n">
        <v>75209</v>
      </c>
      <c r="Q23" s="2" t="inlineStr">
        <is>
          <t>No</t>
        </is>
      </c>
      <c r="R23" s="2" t="inlineStr">
        <is>
          <t>Yes</t>
        </is>
      </c>
      <c r="S23" s="2" t="inlineStr">
        <is>
          <t>Finneiss DB (exact)</t>
        </is>
      </c>
      <c r="T23" s="4" t="n"/>
      <c r="U23" s="4" t="n"/>
    </row>
    <row r="24" ht="18" customHeight="1" s="43">
      <c r="A24" s="2" t="n">
        <v>32</v>
      </c>
      <c r="B24" s="2" t="inlineStr">
        <is>
          <t>CÔNG TY TNHH UNZA VN</t>
        </is>
      </c>
      <c r="C24" s="2" t="inlineStr">
        <is>
          <t>Provider</t>
        </is>
      </c>
      <c r="D24" s="2" t="inlineStr">
        <is>
          <t>PLASTIC_SCRAP</t>
        </is>
      </c>
      <c r="E24" s="41" t="n">
        <v>10.929688</v>
      </c>
      <c r="F24" s="41" t="n">
        <v>106.716313</v>
      </c>
      <c r="G24" s="41" t="n">
        <v>6</v>
      </c>
      <c r="H24" s="41" t="n">
        <v>0.2</v>
      </c>
      <c r="I24" s="59" t="n">
        <v>5</v>
      </c>
      <c r="J24" s="2" t="n">
        <v>20230</v>
      </c>
      <c r="K24" s="2" t="inlineStr">
        <is>
          <t>Manufacture of soap and detergents, cleaning and polishing preparations, perfumes and toilet preparations</t>
        </is>
      </c>
      <c r="L24" s="2" t="n">
        <v>2042</v>
      </c>
      <c r="M24" s="2" t="inlineStr">
        <is>
          <t>Manufactures and distributes personal care and household products.</t>
        </is>
      </c>
      <c r="N24" s="2" t="inlineStr">
        <is>
          <t>- Chemical waste
- Packaging waste
- Wastewater from cleaning operations
- General manufacturing waste</t>
        </is>
      </c>
      <c r="O24" s="2" t="inlineStr">
        <is>
          <t>7 Đường 4, Vsip 1 Bình Dương</t>
        </is>
      </c>
      <c r="P24" s="2" t="n">
        <v>75214</v>
      </c>
      <c r="Q24" s="2" t="inlineStr">
        <is>
          <t>Yes</t>
        </is>
      </c>
      <c r="R24" s="2" t="inlineStr">
        <is>
          <t>Yes</t>
        </is>
      </c>
      <c r="S24" s="2" t="inlineStr">
        <is>
          <t>Finneiss DB (exact); VSIP1 Company Directory PDF</t>
        </is>
      </c>
      <c r="T24" s="4" t="n"/>
      <c r="U24" s="4" t="n"/>
    </row>
    <row r="25" ht="18" customHeight="1" s="43">
      <c r="A25" s="5" t="n">
        <v>24</v>
      </c>
      <c r="B25" s="5" t="inlineStr">
        <is>
          <t>KOREA UNITED PHARM. INT’L INC.</t>
        </is>
      </c>
      <c r="C25" s="5" t="inlineStr">
        <is>
          <t>Provider</t>
        </is>
      </c>
      <c r="D25" s="5" t="inlineStr">
        <is>
          <t>PLASTIC_SCRAP</t>
        </is>
      </c>
      <c r="E25" s="42" t="n">
        <v>10.935063</v>
      </c>
      <c r="F25" s="42" t="n">
        <v>106.712688</v>
      </c>
      <c r="G25" s="42" t="n">
        <v>8.300000000000001</v>
      </c>
      <c r="H25" s="42" t="n">
        <v>0.2</v>
      </c>
      <c r="I25" s="59" t="n">
        <v>5</v>
      </c>
      <c r="J25" s="5" t="n">
        <v>21001</v>
      </c>
      <c r="K25" s="5" t="inlineStr">
        <is>
          <t>Manufacture of pharmaceutical preparations</t>
        </is>
      </c>
      <c r="L25" s="5" t="n">
        <v>2120</v>
      </c>
      <c r="M25" s="5" t="inlineStr">
        <is>
          <t>Manufactures pharmaceutical products, including dietary supplements and over-the-counter drugs.</t>
        </is>
      </c>
      <c r="N25" s="5" t="inlineStr">
        <is>
          <t>- Chemical waste from pharmaceutical production
- Expired or unused pharmaceutical products
- Packaging waste (e.g., blister packs, bottles)
- Wastewater containing active pharmaceutical ingredients</t>
        </is>
      </c>
      <c r="O25" s="5" t="inlineStr">
        <is>
          <t>2 Đại lộ tự do</t>
        </is>
      </c>
      <c r="P25" s="5" t="n">
        <v>75209</v>
      </c>
      <c r="Q25" s="5" t="inlineStr">
        <is>
          <t>Yes</t>
        </is>
      </c>
      <c r="R25" s="5" t="inlineStr">
        <is>
          <t>Yes</t>
        </is>
      </c>
      <c r="S25" s="5" t="inlineStr">
        <is>
          <t>Finneiss DB (exact); VSIP1 Company Directory PDF</t>
        </is>
      </c>
      <c r="T25" s="7" t="n"/>
      <c r="U25" s="7" t="n"/>
    </row>
    <row r="26" ht="18" customHeight="1" s="43">
      <c r="A26" s="2" t="n">
        <v>26</v>
      </c>
      <c r="B26" s="2" t="inlineStr">
        <is>
          <t>CÔNG TY TNHH ẮC QUY GS VN</t>
        </is>
      </c>
      <c r="C26" s="2" t="inlineStr">
        <is>
          <t>Provider</t>
        </is>
      </c>
      <c r="D26" s="2" t="inlineStr">
        <is>
          <t>PLASTIC_SCRAP</t>
        </is>
      </c>
      <c r="E26" s="41" t="n">
        <v>10.937062</v>
      </c>
      <c r="F26" s="41" t="n">
        <v>106.713562</v>
      </c>
      <c r="G26" s="41" t="n">
        <v>4.8</v>
      </c>
      <c r="H26" s="41" t="n">
        <v>0.2</v>
      </c>
      <c r="I26" s="59" t="n">
        <v>5</v>
      </c>
      <c r="J26" s="2" t="n">
        <v>27200</v>
      </c>
      <c r="K26" s="2" t="inlineStr">
        <is>
          <t>Manufacture of batteries and accumulators</t>
        </is>
      </c>
      <c r="L26" s="2" t="n">
        <v>2720</v>
      </c>
      <c r="M26" s="2" t="inlineStr">
        <is>
          <t>Manufactures automotive and industrial batteries.</t>
        </is>
      </c>
      <c r="N26" s="2" t="inlineStr">
        <is>
          <t>- Lead and acid waste
- Used battery casings
- Packaging waste (e.g., cardboard boxes, plastic wraps)
- Wastewater containing heavy metals</t>
        </is>
      </c>
      <c r="O26" s="2" t="inlineStr">
        <is>
          <t>18 đường 3</t>
        </is>
      </c>
      <c r="P26" s="2" t="n">
        <v>75214</v>
      </c>
      <c r="Q26" s="2" t="inlineStr">
        <is>
          <t>Yes</t>
        </is>
      </c>
      <c r="R26" s="2" t="inlineStr">
        <is>
          <t>Yes</t>
        </is>
      </c>
      <c r="S26" s="2" t="inlineStr">
        <is>
          <t>Finneiss DB (exact); VSIP1 Company Directory PDF</t>
        </is>
      </c>
      <c r="T26" s="4" t="n"/>
      <c r="U26" s="4" t="n"/>
    </row>
    <row r="27" ht="18" customHeight="1" s="43">
      <c r="A27" s="5" t="n">
        <v>38</v>
      </c>
      <c r="B27" s="5" t="inlineStr">
        <is>
          <t>CÔNG TY TNHH WELL ELECTRONICS VN</t>
        </is>
      </c>
      <c r="C27" s="5" t="inlineStr">
        <is>
          <t>Provider</t>
        </is>
      </c>
      <c r="D27" s="5" t="inlineStr">
        <is>
          <t>PLASTIC_SCRAP</t>
        </is>
      </c>
      <c r="E27" s="42" t="n">
        <v>10.931062</v>
      </c>
      <c r="F27" s="42" t="n">
        <v>106.719687</v>
      </c>
      <c r="G27" s="42" t="n">
        <v>7.2</v>
      </c>
      <c r="H27" s="42" t="n">
        <v>0.2</v>
      </c>
      <c r="I27" s="59" t="n">
        <v>5</v>
      </c>
      <c r="J27" s="5" t="n">
        <v>26100</v>
      </c>
      <c r="K27" s="5" t="inlineStr">
        <is>
          <t>Manufacture of electronic components</t>
        </is>
      </c>
      <c r="L27" s="5" t="n">
        <v>2611</v>
      </c>
      <c r="M27" s="5" t="inlineStr">
        <is>
          <t>Produces electronic components and assemblies for various applications.</t>
        </is>
      </c>
      <c r="N27" s="5" t="inlineStr">
        <is>
          <t>- Electronic waste
- Chemical waste
- Packaging waste
- Wastewater from cleaning processes</t>
        </is>
      </c>
      <c r="O27" s="5" t="inlineStr">
        <is>
          <t>17A ĐƯỜNG 4</t>
        </is>
      </c>
      <c r="P27" s="5" t="n">
        <v>75214</v>
      </c>
      <c r="Q27" s="5" t="inlineStr">
        <is>
          <t>Yes</t>
        </is>
      </c>
      <c r="R27" s="5" t="inlineStr">
        <is>
          <t>Yes</t>
        </is>
      </c>
      <c r="S27" s="5" t="inlineStr">
        <is>
          <t>Finneiss DB (exact); VSIP1 Company Directory PDF</t>
        </is>
      </c>
      <c r="T27" s="7" t="n"/>
      <c r="U27" s="7" t="n"/>
    </row>
    <row r="28" ht="18" customHeight="1" s="43">
      <c r="A28" s="2" t="n">
        <v>44</v>
      </c>
      <c r="B28" s="2" t="inlineStr">
        <is>
          <t>CÔNG TY TNHH HAYWARD QUARTZ TECHNOLOGY</t>
        </is>
      </c>
      <c r="C28" s="2" t="inlineStr">
        <is>
          <t>Provider</t>
        </is>
      </c>
      <c r="D28" s="2" t="inlineStr">
        <is>
          <t>PLASTIC_SCRAP</t>
        </is>
      </c>
      <c r="E28" s="41" t="n">
        <v>10.937563</v>
      </c>
      <c r="F28" s="41" t="n">
        <v>106.727688</v>
      </c>
      <c r="G28" s="41" t="n">
        <v>9.699999999999999</v>
      </c>
      <c r="H28" s="41" t="n">
        <v>0.2</v>
      </c>
      <c r="I28" s="59" t="n">
        <v>5</v>
      </c>
      <c r="J28" s="2" t="n">
        <v>23990</v>
      </c>
      <c r="K28" s="2" t="inlineStr">
        <is>
          <t>Manufacture of other non-metallic mineral products n.e.c.</t>
        </is>
      </c>
      <c r="L28" s="2" t="n">
        <v>2399</v>
      </c>
      <c r="M28" s="2" t="inlineStr">
        <is>
          <t>Manufactures quartz components for semiconductor and industrial applications.</t>
        </is>
      </c>
      <c r="N28" s="2" t="inlineStr">
        <is>
          <t>- Quartz scrap and offcuts
- Chemical waste from cleaning processes
- Packaging waste
- Wastewater from cleaning processes</t>
        </is>
      </c>
      <c r="O28" s="2" t="inlineStr">
        <is>
          <t>LÔ 32 ĐƯỜNG 6</t>
        </is>
      </c>
      <c r="P28" s="2" t="n">
        <v>75209</v>
      </c>
      <c r="Q28" s="2" t="inlineStr">
        <is>
          <t>Yes</t>
        </is>
      </c>
      <c r="R28" s="2" t="inlineStr">
        <is>
          <t>Yes</t>
        </is>
      </c>
      <c r="S28" s="2" t="inlineStr">
        <is>
          <t>Finneiss DB (exact); VSIP1 Company Directory PDF</t>
        </is>
      </c>
      <c r="T28" s="4" t="n"/>
      <c r="U28" s="4" t="n"/>
    </row>
    <row r="29" ht="18" customHeight="1" s="43">
      <c r="A29" s="5" t="n">
        <v>3</v>
      </c>
      <c r="B29" s="5" t="inlineStr">
        <is>
          <t>CÔNG TY TNHH AVERY DENNISON – PAXAR VN</t>
        </is>
      </c>
      <c r="C29" s="5" t="inlineStr">
        <is>
          <t>Provider</t>
        </is>
      </c>
      <c r="D29" s="5" t="inlineStr">
        <is>
          <t>PLASTIC_SCRAP</t>
        </is>
      </c>
      <c r="E29" s="40" t="n">
        <v>10.9298</v>
      </c>
      <c r="F29" s="40" t="n">
        <v>106.7218</v>
      </c>
      <c r="G29" s="40" t="n">
        <v>7.3</v>
      </c>
      <c r="H29" s="40" t="n">
        <v>0.2</v>
      </c>
      <c r="I29" s="59" t="n">
        <v>5</v>
      </c>
      <c r="J29" s="5" t="n">
        <v>17090</v>
      </c>
      <c r="K29" s="5" t="inlineStr">
        <is>
          <t>Manufacture of other articles of paper and paperboard n.e.c.</t>
        </is>
      </c>
      <c r="L29" s="5" t="n">
        <v>1729</v>
      </c>
      <c r="M29" s="5" t="inlineStr">
        <is>
          <t>Produces labeling and packaging materials, including RFID tags and adhesive labels.</t>
        </is>
      </c>
      <c r="N29" s="5" t="inlineStr">
        <is>
          <t>- Paper and adhesive waste
- Ink and solvent waste
- Wastewater from cleaning processes
- Packaging waste (e.g., plastic films, boxes)</t>
        </is>
      </c>
      <c r="O29" s="5" t="inlineStr">
        <is>
          <t>1 đường 10</t>
        </is>
      </c>
      <c r="P29" s="5" t="inlineStr">
        <is>
          <t>N/A</t>
        </is>
      </c>
      <c r="Q29" s="5" t="inlineStr">
        <is>
          <t>Yes</t>
        </is>
      </c>
      <c r="R29" s="5" t="inlineStr">
        <is>
          <t>Yes</t>
        </is>
      </c>
      <c r="S29" s="5" t="inlineStr">
        <is>
          <t>Finneiss DB (exact); VSIP1 Company Directory PDF; Address confirmed: 1 Đường 10, KCN VSIP, Bình Hòa, Thuận An, Bình Dương (viettopreview.vn VSIP1 list). GPS coordinates: not yet verified — placeholder 0,0.</t>
        </is>
      </c>
      <c r="T29" s="7" t="n"/>
      <c r="U29" s="7" t="n"/>
    </row>
    <row r="30" ht="18" customHeight="1" s="43">
      <c r="A30" s="2" t="n">
        <v>30</v>
      </c>
      <c r="B30" s="2" t="inlineStr">
        <is>
          <t>KURABE INDUSTRIAL (VN) CO., LTD</t>
        </is>
      </c>
      <c r="C30" s="2" t="inlineStr">
        <is>
          <t>Provider</t>
        </is>
      </c>
      <c r="D30" s="2" t="inlineStr">
        <is>
          <t>PLASTIC_SCRAP</t>
        </is>
      </c>
      <c r="E30" s="41" t="n">
        <v>10.935313</v>
      </c>
      <c r="F30" s="41" t="n">
        <v>106.722688</v>
      </c>
      <c r="G30" s="41" t="n">
        <v>9.9</v>
      </c>
      <c r="H30" s="41" t="n">
        <v>0.2</v>
      </c>
      <c r="I30" s="59" t="n">
        <v>5</v>
      </c>
      <c r="J30" s="2" t="n">
        <v>29300</v>
      </c>
      <c r="K30" s="2" t="inlineStr">
        <is>
          <t>Manufacture of parts and accessories for motor vehicles</t>
        </is>
      </c>
      <c r="L30" s="2" t="n">
        <v>2932</v>
      </c>
      <c r="M30" s="2" t="inlineStr">
        <is>
          <t>Produces automotive electrical components, including heating elements and sensors.</t>
        </is>
      </c>
      <c r="N30" s="2" t="inlineStr">
        <is>
          <t>- Electronic waste
- Plastic and metal scraps
- Packaging waste
- Wastewater from cleaning processes</t>
        </is>
      </c>
      <c r="O30" s="2" t="inlineStr">
        <is>
          <t>26 Đại lộ tự do</t>
        </is>
      </c>
      <c r="P30" s="2" t="n">
        <v>75209</v>
      </c>
      <c r="Q30" s="2" t="inlineStr">
        <is>
          <t>Yes</t>
        </is>
      </c>
      <c r="R30" s="2" t="inlineStr">
        <is>
          <t>Yes</t>
        </is>
      </c>
      <c r="S30" s="2" t="inlineStr">
        <is>
          <t>Finneiss DB (exact); VSIP1 Company Directory PDF</t>
        </is>
      </c>
      <c r="T30" s="4" t="n"/>
      <c r="U30" s="4" t="n"/>
    </row>
    <row r="31" ht="18" customHeight="1" s="43">
      <c r="A31" s="5" t="n">
        <v>49</v>
      </c>
      <c r="B31" s="5" t="inlineStr">
        <is>
          <t>CÔNG TY TNHH VẬT LIỆU BĂNG KEO NITTO DENKO (VN)</t>
        </is>
      </c>
      <c r="C31" s="5" t="inlineStr">
        <is>
          <t>Provider</t>
        </is>
      </c>
      <c r="D31" s="5" t="inlineStr">
        <is>
          <t>PLASTIC_SCRAP</t>
        </is>
      </c>
      <c r="E31" s="42" t="n">
        <v>10.932437</v>
      </c>
      <c r="F31" s="42" t="n">
        <v>106.730187</v>
      </c>
      <c r="G31" s="42" t="n">
        <v>3.5</v>
      </c>
      <c r="H31" s="42" t="n">
        <v>0.2</v>
      </c>
      <c r="I31" s="59" t="n">
        <v>5</v>
      </c>
      <c r="J31" s="5" t="n">
        <v>22209</v>
      </c>
      <c r="K31" s="5" t="inlineStr">
        <is>
          <t>Manufacture of other plastic products n.e.c.</t>
        </is>
      </c>
      <c r="L31" s="5" t="n">
        <v>2229</v>
      </c>
      <c r="M31" s="5" t="inlineStr">
        <is>
          <t>Manufactures adhesive tapes and functional materials for various industrial applications.</t>
        </is>
      </c>
      <c r="N31" s="5" t="inlineStr">
        <is>
          <t>- Plastic and rubber waste
- Chemical waste from adhesive production
- Packaging waste
- Wastewater from cleaning processes</t>
        </is>
      </c>
      <c r="O31" s="5" t="inlineStr">
        <is>
          <t>1 LÔ C KHO MAPLETREE ĐƯỜNG 10</t>
        </is>
      </c>
      <c r="P31" s="5" t="n">
        <v>75209</v>
      </c>
      <c r="Q31" s="5" t="inlineStr">
        <is>
          <t>No</t>
        </is>
      </c>
      <c r="R31" s="5" t="inlineStr">
        <is>
          <t>Yes</t>
        </is>
      </c>
      <c r="S31" s="5" t="inlineStr">
        <is>
          <t>Finneiss DB (exact)</t>
        </is>
      </c>
      <c r="T31" s="7" t="n"/>
      <c r="U31" s="7" t="n"/>
    </row>
    <row r="32" ht="18" customHeight="1" s="43">
      <c r="A32" s="2" t="n">
        <v>29</v>
      </c>
      <c r="B32" s="2" t="inlineStr">
        <is>
          <t>CÔNG TY LD TNHH KCN VN – SINGAPORE (VSIP)</t>
        </is>
      </c>
      <c r="C32" s="2" t="inlineStr">
        <is>
          <t>Provider</t>
        </is>
      </c>
      <c r="D32" s="2" t="inlineStr">
        <is>
          <t>PAPER_WASTE</t>
        </is>
      </c>
      <c r="E32" s="41" t="n">
        <v>10.937313</v>
      </c>
      <c r="F32" s="41" t="n">
        <v>106.738984</v>
      </c>
      <c r="G32" s="41" t="n">
        <v>6.9</v>
      </c>
      <c r="H32" s="41" t="n">
        <v>0.2</v>
      </c>
      <c r="I32" s="59" t="n">
        <v>5</v>
      </c>
      <c r="J32" s="2" t="n">
        <v>68100</v>
      </c>
      <c r="K32" s="2" t="inlineStr">
        <is>
          <t>Real estate activities with own or leased property</t>
        </is>
      </c>
      <c r="L32" s="2" t="n">
        <v>6810</v>
      </c>
      <c r="M32" s="2" t="inlineStr">
        <is>
          <t>Joint venture company managing the Vietnam-Singapore Industrial Park (VSIP), providing infrastructure and services to tenants.</t>
        </is>
      </c>
      <c r="N32" s="2" t="inlineStr">
        <is>
          <t>- Office waste
- Maintenance waste
- Landscaping waste
- Wastewater from facility operations</t>
        </is>
      </c>
      <c r="O32" s="2" t="inlineStr">
        <is>
          <t>8 Đại lộ Hữu Nghị</t>
        </is>
      </c>
      <c r="P32" s="2" t="n">
        <v>75209</v>
      </c>
      <c r="Q32" s="2" t="inlineStr">
        <is>
          <t>Yes</t>
        </is>
      </c>
      <c r="R32" s="2" t="inlineStr">
        <is>
          <t>Yes</t>
        </is>
      </c>
      <c r="S32" s="2" t="inlineStr">
        <is>
          <t>Finneiss DB (exact); VSIP1 Company Directory PDF</t>
        </is>
      </c>
      <c r="T32" s="4" t="n"/>
      <c r="U32" s="4" t="n"/>
    </row>
    <row r="33" ht="18" customHeight="1" s="43">
      <c r="A33" s="5" t="n">
        <v>77</v>
      </c>
      <c r="B33" s="5" t="inlineStr">
        <is>
          <t>DAILY FULL INT’L PRINTING (VN) CO. LTD</t>
        </is>
      </c>
      <c r="C33" s="5" t="inlineStr">
        <is>
          <t>Provider</t>
        </is>
      </c>
      <c r="D33" s="5" t="inlineStr">
        <is>
          <t>PAPER_WASTE</t>
        </is>
      </c>
      <c r="E33" s="42" t="n">
        <v>10.929562</v>
      </c>
      <c r="F33" s="42" t="n">
        <v>106.723813</v>
      </c>
      <c r="G33" s="42" t="n">
        <v>8.5</v>
      </c>
      <c r="H33" s="42" t="n">
        <v>0.2</v>
      </c>
      <c r="I33" s="59" t="n">
        <v>5</v>
      </c>
      <c r="J33" s="5" t="n">
        <v>18110</v>
      </c>
      <c r="K33" s="5" t="inlineStr">
        <is>
          <t>Printing</t>
        </is>
      </c>
      <c r="L33" s="5" t="n">
        <v>1811</v>
      </c>
      <c r="M33" s="5" t="inlineStr">
        <is>
          <t>Provides printing services, including barcode labels and packaging materials.</t>
        </is>
      </c>
      <c r="N33" s="5" t="inlineStr">
        <is>
          <t>- Ink and solvent waste
- Paper waste
- Packaging waste
- Wastewater from equipment cleaning</t>
        </is>
      </c>
      <c r="O33" s="5" t="inlineStr">
        <is>
          <t>7 ĐƯỜNG 8</t>
        </is>
      </c>
      <c r="P33" s="5" t="n">
        <v>75214</v>
      </c>
      <c r="Q33" s="5" t="inlineStr">
        <is>
          <t>Yes</t>
        </is>
      </c>
      <c r="R33" s="5" t="inlineStr">
        <is>
          <t>Yes</t>
        </is>
      </c>
      <c r="S33" s="5" t="inlineStr">
        <is>
          <t>Finneiss DB (exact); VSIP1 Company Directory PDF</t>
        </is>
      </c>
      <c r="T33" s="7" t="n"/>
      <c r="U33" s="7" t="n"/>
    </row>
    <row r="34" ht="18" customHeight="1" s="43">
      <c r="A34" s="2" t="n">
        <v>50</v>
      </c>
      <c r="B34" s="2" t="inlineStr">
        <is>
          <t>CÔNG TY TNHH CPAC MONIER VN</t>
        </is>
      </c>
      <c r="C34" s="2" t="inlineStr">
        <is>
          <t>Provider</t>
        </is>
      </c>
      <c r="D34" s="2" t="inlineStr">
        <is>
          <t>PAPER_WASTE</t>
        </is>
      </c>
      <c r="E34" s="41" t="n">
        <v>10.924437</v>
      </c>
      <c r="F34" s="41" t="n">
        <v>106.713562</v>
      </c>
      <c r="G34" s="41" t="n">
        <v>1.7</v>
      </c>
      <c r="H34" s="41" t="n">
        <v>0.2</v>
      </c>
      <c r="I34" s="59" t="n">
        <v>5</v>
      </c>
      <c r="J34" s="2" t="n">
        <v>23950</v>
      </c>
      <c r="K34" s="2" t="inlineStr">
        <is>
          <t>Manufacture of articles of concrete, cement and plaster</t>
        </is>
      </c>
      <c r="L34" s="2" t="n">
        <v>2369</v>
      </c>
      <c r="M34" s="2" t="inlineStr">
        <is>
          <t>Produces concrete roofing tiles and related construction materials.</t>
        </is>
      </c>
      <c r="N34" s="2" t="inlineStr">
        <is>
          <t>- Concrete and cement dust
- Sludge from cleaning
- Packaging waste
- General industrial waste</t>
        </is>
      </c>
      <c r="O34" s="2" t="inlineStr">
        <is>
          <t>9 ĐƯỜNG 10</t>
        </is>
      </c>
      <c r="P34" s="2" t="n">
        <v>75214</v>
      </c>
      <c r="Q34" s="2" t="inlineStr">
        <is>
          <t>No</t>
        </is>
      </c>
      <c r="R34" s="2" t="inlineStr">
        <is>
          <t>Yes</t>
        </is>
      </c>
      <c r="S34" s="2" t="inlineStr">
        <is>
          <t>Finneiss DB (exact)</t>
        </is>
      </c>
      <c r="T34" s="4" t="n"/>
      <c r="U34" s="4" t="n"/>
    </row>
    <row r="35" ht="18" customHeight="1" s="43">
      <c r="A35" s="5" t="n">
        <v>72</v>
      </c>
      <c r="B35" s="5" t="inlineStr">
        <is>
          <t>NGÂN HÀNG BIDV – CN NAM BÌNH DƯƠNG</t>
        </is>
      </c>
      <c r="C35" s="5" t="inlineStr">
        <is>
          <t>Provider</t>
        </is>
      </c>
      <c r="D35" s="5" t="inlineStr">
        <is>
          <t>PAPER_WASTE</t>
        </is>
      </c>
      <c r="E35" s="42" t="n">
        <v>10.924563</v>
      </c>
      <c r="F35" s="42" t="n">
        <v>106.714562</v>
      </c>
      <c r="G35" s="42" t="n">
        <v>7.5</v>
      </c>
      <c r="H35" s="42" t="n">
        <v>0.2</v>
      </c>
      <c r="I35" s="59" t="n">
        <v>5</v>
      </c>
      <c r="J35" s="5" t="n">
        <v>64190</v>
      </c>
      <c r="K35" s="5" t="inlineStr">
        <is>
          <t>Other monetary intermediation n.e.c.</t>
        </is>
      </c>
      <c r="L35" s="5" t="n">
        <v>6419</v>
      </c>
      <c r="M35" s="5" t="inlineStr">
        <is>
          <t>Provides banking and financial services as a branch of BIDV.</t>
        </is>
      </c>
      <c r="N35" s="5" t="inlineStr">
        <is>
          <t>- Paper waste (documents, forms)
- Electronic waste (obsolete equipment)
- General office waste</t>
        </is>
      </c>
      <c r="O35" s="5" t="inlineStr">
        <is>
          <t>7-8 ĐƯỜNG 3</t>
        </is>
      </c>
      <c r="P35" s="5" t="n">
        <v>75214</v>
      </c>
      <c r="Q35" s="5" t="inlineStr">
        <is>
          <t>No</t>
        </is>
      </c>
      <c r="R35" s="5" t="inlineStr">
        <is>
          <t>Yes</t>
        </is>
      </c>
      <c r="S35" s="5" t="inlineStr">
        <is>
          <t>Finneiss DB (exact)</t>
        </is>
      </c>
      <c r="T35" s="7" t="n"/>
      <c r="U35" s="7" t="n"/>
    </row>
    <row r="36" ht="18" customHeight="1" s="43">
      <c r="A36" s="2" t="n">
        <v>35</v>
      </c>
      <c r="B36" s="2" t="inlineStr">
        <is>
          <t>CÔNG TY TNHH KIMBERLY CLARK VN</t>
        </is>
      </c>
      <c r="C36" s="2" t="inlineStr">
        <is>
          <t>Provider</t>
        </is>
      </c>
      <c r="D36" s="2" t="inlineStr">
        <is>
          <t>PAPER_WASTE</t>
        </is>
      </c>
      <c r="E36" s="41" t="n">
        <v>10.924688</v>
      </c>
      <c r="F36" s="41" t="n">
        <v>106.725188</v>
      </c>
      <c r="G36" s="41" t="n">
        <v>5.3</v>
      </c>
      <c r="H36" s="41" t="n">
        <v>0.2</v>
      </c>
      <c r="I36" s="59" t="n">
        <v>5</v>
      </c>
      <c r="J36" s="2" t="n">
        <v>17090</v>
      </c>
      <c r="K36" s="2" t="inlineStr">
        <is>
          <t>Manufacture of other articles of paper and paperboard n.e.c.</t>
        </is>
      </c>
      <c r="L36" s="2" t="n">
        <v>1729</v>
      </c>
      <c r="M36" s="2" t="inlineStr">
        <is>
          <t>Manufactures sanitary paper products such as diapers, tissues, and napkins.</t>
        </is>
      </c>
      <c r="N36" s="2" t="inlineStr">
        <is>
          <t>- Paper and pulp waste
- Chemical waste
- Packaging waste
- Wastewater from cleaning operations</t>
        </is>
      </c>
      <c r="O36" s="2" t="inlineStr">
        <is>
          <t>32 Đại lộ Hữu Nghị</t>
        </is>
      </c>
      <c r="P36" s="2" t="n">
        <v>75214</v>
      </c>
      <c r="Q36" s="2" t="inlineStr">
        <is>
          <t>Yes</t>
        </is>
      </c>
      <c r="R36" s="2" t="inlineStr">
        <is>
          <t>Yes</t>
        </is>
      </c>
      <c r="S36" s="2" t="inlineStr">
        <is>
          <t>Finneiss DB (exact); VSIP1 Company Directory PDF</t>
        </is>
      </c>
      <c r="T36" s="4" t="n"/>
      <c r="U36" s="4" t="n"/>
    </row>
    <row r="37" ht="18" customHeight="1" s="43">
      <c r="A37" s="2" t="n">
        <v>27</v>
      </c>
      <c r="B37" s="2" t="inlineStr">
        <is>
          <t>CÔNG TY LD TNHH ANOVA</t>
        </is>
      </c>
      <c r="C37" s="2" t="inlineStr">
        <is>
          <t>Provider</t>
        </is>
      </c>
      <c r="D37" s="2" t="inlineStr">
        <is>
          <t>PAPER_WASTE</t>
        </is>
      </c>
      <c r="E37" s="41" t="n">
        <v>10.928062</v>
      </c>
      <c r="F37" s="41" t="n">
        <v>106.722437</v>
      </c>
      <c r="G37" s="41" t="n">
        <v>0.2</v>
      </c>
      <c r="H37" s="41" t="n">
        <v>0.2</v>
      </c>
      <c r="I37" s="59" t="n">
        <v>5</v>
      </c>
      <c r="J37" s="2" t="n">
        <v>21002</v>
      </c>
      <c r="K37" s="2" t="inlineStr">
        <is>
          <t>Manufacture of veterinary preparations</t>
        </is>
      </c>
      <c r="L37" s="2" t="n">
        <v>2110</v>
      </c>
      <c r="M37" s="2" t="inlineStr">
        <is>
          <t>Specializes in manufacturing veterinary medicines and nutritional products for livestock and poultry.</t>
        </is>
      </c>
      <c r="N37" s="2" t="inlineStr">
        <is>
          <t>- Chemical waste from pharmaceutical production
- Expired or unused veterinary products
- Packaging waste
- Wastewater containing active pharmaceutical ingredients</t>
        </is>
      </c>
      <c r="O37" s="2" t="inlineStr">
        <is>
          <t>36 Đại lộ Độc lập</t>
        </is>
      </c>
      <c r="P37" s="2" t="n">
        <v>75209</v>
      </c>
      <c r="Q37" s="2" t="inlineStr">
        <is>
          <t>Yes</t>
        </is>
      </c>
      <c r="R37" s="2" t="inlineStr">
        <is>
          <t>Yes</t>
        </is>
      </c>
      <c r="S37" s="2" t="inlineStr">
        <is>
          <t>Finneiss DB (exact); VSIP1 Company Directory PDF</t>
        </is>
      </c>
      <c r="T37" s="4" t="n"/>
      <c r="U37" s="4" t="n"/>
    </row>
    <row r="38" ht="18" customHeight="1" s="43">
      <c r="A38" s="5" t="n">
        <v>28</v>
      </c>
      <c r="B38" s="5" t="inlineStr">
        <is>
          <t>CÔNG TY TNHH ASUZAC</t>
        </is>
      </c>
      <c r="C38" s="5" t="inlineStr">
        <is>
          <t>Provider</t>
        </is>
      </c>
      <c r="D38" s="5" t="inlineStr">
        <is>
          <t>PAPER_WASTE</t>
        </is>
      </c>
      <c r="E38" s="42" t="n">
        <v>10.937313</v>
      </c>
      <c r="F38" s="42" t="n">
        <v>106.730937</v>
      </c>
      <c r="G38" s="42" t="n">
        <v>4.3</v>
      </c>
      <c r="H38" s="42" t="n">
        <v>0.2</v>
      </c>
      <c r="I38" s="59" t="n">
        <v>5</v>
      </c>
      <c r="J38" s="5" t="n">
        <v>23990</v>
      </c>
      <c r="K38" s="5" t="inlineStr">
        <is>
          <t>Manufacture of other non-metallic mineral products n.e.c.</t>
        </is>
      </c>
      <c r="L38" s="5" t="n">
        <v>2399</v>
      </c>
      <c r="M38" s="5" t="inlineStr">
        <is>
          <t>Manufactures precision ceramic components and refractory materials for industrial applications.</t>
        </is>
      </c>
      <c r="N38" s="5" t="inlineStr">
        <is>
          <t>- Ceramic waste and offcuts
- Dust and particulate emissions
- Packaging waste
- Wastewater from cleaning processes</t>
        </is>
      </c>
      <c r="O38" s="5" t="inlineStr">
        <is>
          <t>1 đường 8</t>
        </is>
      </c>
      <c r="P38" s="5" t="n">
        <v>75209</v>
      </c>
      <c r="Q38" s="5" t="inlineStr">
        <is>
          <t>Yes</t>
        </is>
      </c>
      <c r="R38" s="5" t="inlineStr">
        <is>
          <t>Yes</t>
        </is>
      </c>
      <c r="S38" s="5" t="inlineStr">
        <is>
          <t>Finneiss DB (exact); VSIP1 Company Directory PDF</t>
        </is>
      </c>
      <c r="T38" s="7" t="n"/>
      <c r="U38" s="7" t="n"/>
    </row>
    <row r="39" ht="18" customHeight="1" s="43">
      <c r="A39" s="2" t="n">
        <v>47</v>
      </c>
      <c r="B39" s="2" t="inlineStr">
        <is>
          <t>CÔNG TY TNHH NEW TOYO PULPPY VN</t>
        </is>
      </c>
      <c r="C39" s="2" t="inlineStr">
        <is>
          <t>Provider</t>
        </is>
      </c>
      <c r="D39" s="2" t="inlineStr">
        <is>
          <t>PAPER_WASTE</t>
        </is>
      </c>
      <c r="E39" s="41" t="n">
        <v>10.937812</v>
      </c>
      <c r="F39" s="41" t="n">
        <v>106.717813</v>
      </c>
      <c r="G39" s="41" t="n">
        <v>9.800000000000001</v>
      </c>
      <c r="H39" s="41" t="n">
        <v>0.2</v>
      </c>
      <c r="I39" s="59" t="n">
        <v>5</v>
      </c>
      <c r="J39" s="2" t="n">
        <v>17090</v>
      </c>
      <c r="K39" s="2" t="inlineStr">
        <is>
          <t>Manufacture of other articles of paper and paperboard n.e.c.</t>
        </is>
      </c>
      <c r="L39" s="2" t="n">
        <v>1729</v>
      </c>
      <c r="M39" s="2" t="inlineStr">
        <is>
          <t>Manufactures tissue paper and related hygiene products.</t>
        </is>
      </c>
      <c r="N39" s="2" t="inlineStr">
        <is>
          <t>- Paper and pulp waste
- Chemical waste from bleaching
- Packaging waste
- Wastewater from cleaning processes</t>
        </is>
      </c>
      <c r="O39" s="2" t="inlineStr">
        <is>
          <t>8 ĐƯỜNG 6</t>
        </is>
      </c>
      <c r="P39" s="2" t="n">
        <v>75209</v>
      </c>
      <c r="Q39" s="2" t="inlineStr">
        <is>
          <t>Yes</t>
        </is>
      </c>
      <c r="R39" s="2" t="inlineStr">
        <is>
          <t>Yes</t>
        </is>
      </c>
      <c r="S39" s="2" t="inlineStr">
        <is>
          <t>Finneiss DB (exact); VSIP1 Company Directory PDF</t>
        </is>
      </c>
      <c r="T39" s="4" t="n"/>
      <c r="U39" s="4" t="n"/>
    </row>
    <row r="40" ht="18" customHeight="1" s="43">
      <c r="A40" s="2" t="n">
        <v>10</v>
      </c>
      <c r="B40" s="2" t="inlineStr">
        <is>
          <t>CÔNG TY TNHH FIRST STATIONERY (VN)</t>
        </is>
      </c>
      <c r="C40" s="2" t="inlineStr">
        <is>
          <t>Provider</t>
        </is>
      </c>
      <c r="D40" s="2" t="inlineStr">
        <is>
          <t>PAPER_WASTE</t>
        </is>
      </c>
      <c r="E40" s="41" t="n">
        <v>10.928187</v>
      </c>
      <c r="F40" s="41" t="n">
        <v>106.727563</v>
      </c>
      <c r="G40" s="41" t="n">
        <v>1.1</v>
      </c>
      <c r="H40" s="41" t="n">
        <v>0.2</v>
      </c>
      <c r="I40" s="59" t="n">
        <v>5</v>
      </c>
      <c r="J40" s="2" t="n">
        <v>17090</v>
      </c>
      <c r="K40" s="2" t="inlineStr">
        <is>
          <t>Manufacture of other articles of paper and paperboard n.e.c.</t>
        </is>
      </c>
      <c r="L40" s="2" t="n">
        <v>1729</v>
      </c>
      <c r="M40" s="2" t="inlineStr">
        <is>
          <t>Manufactures wooden pencils and colored pencils for export.</t>
        </is>
      </c>
      <c r="N40" s="2" t="inlineStr">
        <is>
          <t>- Wood shavings and dust
- Paint and lacquer waste
- Packaging waste (e.g., paper boxes, plastic wraps)
- Wastewater from cleaning processes</t>
        </is>
      </c>
      <c r="O40" s="2" t="inlineStr">
        <is>
          <t>52 Đại lộ Độc lập</t>
        </is>
      </c>
      <c r="P40" s="2" t="n">
        <v>75209</v>
      </c>
      <c r="Q40" s="2" t="inlineStr">
        <is>
          <t>Yes</t>
        </is>
      </c>
      <c r="R40" s="2" t="inlineStr">
        <is>
          <t>Yes</t>
        </is>
      </c>
      <c r="S40" s="2" t="inlineStr">
        <is>
          <t>Finneiss DB (exact); VSIP1 Company Directory PDF</t>
        </is>
      </c>
      <c r="T40" s="4" t="n"/>
      <c r="U40" s="4" t="n"/>
    </row>
    <row r="41" ht="18" customHeight="1" s="43">
      <c r="A41" s="5" t="n">
        <v>20</v>
      </c>
      <c r="B41" s="5" t="inlineStr">
        <is>
          <t>CÔNG TY TNHH SX BAO BÌ ALCAMAX VN</t>
        </is>
      </c>
      <c r="C41" s="5" t="inlineStr">
        <is>
          <t>Provider</t>
        </is>
      </c>
      <c r="D41" s="5" t="inlineStr">
        <is>
          <t>PAPER_WASTE</t>
        </is>
      </c>
      <c r="E41" s="42" t="n">
        <v>10.898312</v>
      </c>
      <c r="F41" s="42" t="n">
        <v>106.720938</v>
      </c>
      <c r="G41" s="42" t="n">
        <v>5</v>
      </c>
      <c r="H41" s="42" t="n">
        <v>0.2</v>
      </c>
      <c r="I41" s="59" t="n">
        <v>5</v>
      </c>
      <c r="J41" s="5" t="n">
        <v>17020</v>
      </c>
      <c r="K41" s="5" t="inlineStr">
        <is>
          <t>Manufacture of corrugated paper and paperboard and of containers of paper and paperboard</t>
        </is>
      </c>
      <c r="L41" s="5" t="n">
        <v>1721</v>
      </c>
      <c r="M41" s="5" t="inlineStr">
        <is>
          <t>Manufactures corrugated boxes and other paper-based packaging materials.</t>
        </is>
      </c>
      <c r="N41" s="5" t="inlineStr">
        <is>
          <t>- Paper and cardboard waste
- Ink and adhesive waste
- Packaging waste (e.g., plastic wraps, pallets)
- Wastewater from cleaning processes</t>
        </is>
      </c>
      <c r="O41" s="5" t="inlineStr">
        <is>
          <t>7 đường 6</t>
        </is>
      </c>
      <c r="P41" s="5" t="n">
        <v>75207</v>
      </c>
      <c r="Q41" s="5" t="inlineStr">
        <is>
          <t>Yes</t>
        </is>
      </c>
      <c r="R41" s="5" t="inlineStr">
        <is>
          <t>Yes</t>
        </is>
      </c>
      <c r="S41" s="5" t="inlineStr">
        <is>
          <t>Finneiss DB (exact); VSIP1 Company Directory PDF</t>
        </is>
      </c>
      <c r="T41" s="7" t="n"/>
      <c r="U41" s="7" t="n"/>
    </row>
    <row r="42" ht="18" customHeight="1" s="43">
      <c r="A42" s="2" t="n">
        <v>36</v>
      </c>
      <c r="B42" s="2" t="inlineStr">
        <is>
          <t>CÔNG TY TNHH CASARREDO</t>
        </is>
      </c>
      <c r="C42" s="2" t="inlineStr">
        <is>
          <t>Provider</t>
        </is>
      </c>
      <c r="D42" s="2" t="inlineStr">
        <is>
          <t>PAPER_WASTE</t>
        </is>
      </c>
      <c r="E42" s="41" t="n">
        <v>10.935313</v>
      </c>
      <c r="F42" s="41" t="n">
        <v>106.728062</v>
      </c>
      <c r="G42" s="41" t="n">
        <v>6.4</v>
      </c>
      <c r="H42" s="41" t="n">
        <v>0.2</v>
      </c>
      <c r="I42" s="59" t="n">
        <v>5</v>
      </c>
      <c r="J42" s="2" t="n">
        <v>31009</v>
      </c>
      <c r="K42" s="2" t="inlineStr">
        <is>
          <t>Manufacture of other furniture n.e.c.</t>
        </is>
      </c>
      <c r="L42" s="2" t="n">
        <v>3109</v>
      </c>
      <c r="M42" s="2" t="inlineStr">
        <is>
          <t>Manufactures wooden furniture and interior decoration products.</t>
        </is>
      </c>
      <c r="N42" s="2" t="inlineStr">
        <is>
          <t>- Wood shavings
- Paint and varnish waste
- Packaging waste
- Wastewater from cleaning processes</t>
        </is>
      </c>
      <c r="O42" s="2" t="inlineStr">
        <is>
          <t>32 Đại lộ tự do</t>
        </is>
      </c>
      <c r="P42" s="2" t="n">
        <v>75209</v>
      </c>
      <c r="Q42" s="2" t="inlineStr">
        <is>
          <t>Yes</t>
        </is>
      </c>
      <c r="R42" s="2" t="inlineStr">
        <is>
          <t>Yes</t>
        </is>
      </c>
      <c r="S42" s="2" t="inlineStr">
        <is>
          <t>Finneiss DB (exact); VSIP1 Company Directory PDF</t>
        </is>
      </c>
      <c r="T42" s="4" t="n"/>
      <c r="U42" s="4" t="n"/>
    </row>
    <row r="43" ht="18" customHeight="1" s="43">
      <c r="A43" s="5" t="n">
        <v>12</v>
      </c>
      <c r="B43" s="5" t="inlineStr">
        <is>
          <t>CÔNG TY TNHH SHUAN HWA INDUSTRIAL VN</t>
        </is>
      </c>
      <c r="C43" s="5" t="inlineStr">
        <is>
          <t>Provider</t>
        </is>
      </c>
      <c r="D43" s="5" t="inlineStr">
        <is>
          <t>FERROUS_METAL</t>
        </is>
      </c>
      <c r="E43" s="42" t="n">
        <v>10.926813</v>
      </c>
      <c r="F43" s="42" t="n">
        <v>106.722688</v>
      </c>
      <c r="G43" s="42" t="n">
        <v>8.300000000000001</v>
      </c>
      <c r="H43" s="42" t="n">
        <v>0.2</v>
      </c>
      <c r="I43" s="59" t="n">
        <v>5</v>
      </c>
      <c r="J43" s="5" t="n">
        <v>28290</v>
      </c>
      <c r="K43" s="5" t="inlineStr">
        <is>
          <t>Manufacture of other special-purpose machinery</t>
        </is>
      </c>
      <c r="L43" s="5" t="n">
        <v>2899</v>
      </c>
      <c r="M43" s="5" t="inlineStr">
        <is>
          <t>Manufactures specialized machinery and equipment.</t>
        </is>
      </c>
      <c r="N43" s="5" t="inlineStr">
        <is>
          <t>- Metal shavings and machining waste
- Lubricant and coolant waste
- Packaging waste (e.g., wooden crates, plastic wraps)
- Wastewater from cleaning processes</t>
        </is>
      </c>
      <c r="O43" s="5" t="inlineStr">
        <is>
          <t>19 Đại lộ Độc lập</t>
        </is>
      </c>
      <c r="P43" s="5" t="n">
        <v>75214</v>
      </c>
      <c r="Q43" s="5" t="inlineStr">
        <is>
          <t>Yes</t>
        </is>
      </c>
      <c r="R43" s="5" t="inlineStr">
        <is>
          <t>Yes</t>
        </is>
      </c>
      <c r="S43" s="5" t="inlineStr">
        <is>
          <t>Finneiss DB (exact); VSIP1 Company Directory PDF</t>
        </is>
      </c>
      <c r="T43" s="7" t="n"/>
      <c r="U43" s="7" t="n"/>
    </row>
    <row r="44" ht="18" customHeight="1" s="43">
      <c r="A44" s="2" t="n">
        <v>21</v>
      </c>
      <c r="B44" s="2" t="inlineStr">
        <is>
          <t>SUNLIGHT ELECTRICAL (VN) CO., LTD</t>
        </is>
      </c>
      <c r="C44" s="2" t="inlineStr">
        <is>
          <t>Provider</t>
        </is>
      </c>
      <c r="D44" s="2" t="inlineStr">
        <is>
          <t>FERROUS_METAL</t>
        </is>
      </c>
      <c r="E44" s="41" t="n">
        <v>10.927812</v>
      </c>
      <c r="F44" s="41" t="n">
        <v>106.718437</v>
      </c>
      <c r="G44" s="41" t="n">
        <v>6.6</v>
      </c>
      <c r="H44" s="41" t="n">
        <v>0.2</v>
      </c>
      <c r="I44" s="59" t="n">
        <v>5</v>
      </c>
      <c r="J44" s="2" t="n">
        <v>27120</v>
      </c>
      <c r="K44" s="2" t="inlineStr">
        <is>
          <t>Manufacture of electricity distribution and control apparatus</t>
        </is>
      </c>
      <c r="L44" s="2" t="n">
        <v>2712</v>
      </c>
      <c r="M44" s="2" t="inlineStr">
        <is>
          <t>Produces electrical switchboards and related components.</t>
        </is>
      </c>
      <c r="N44" s="2" t="inlineStr">
        <is>
          <t>- Metal and plastic scrap
- Electronic waste (defective components)
- Packaging waste (e.g., cardboard boxes, plastic films)
- Wastewater from cleaning processes</t>
        </is>
      </c>
      <c r="O44" s="2" t="inlineStr">
        <is>
          <t>20 Đại lộ Độc lập</t>
        </is>
      </c>
      <c r="P44" s="2" t="n">
        <v>75214</v>
      </c>
      <c r="Q44" s="2" t="inlineStr">
        <is>
          <t>Yes</t>
        </is>
      </c>
      <c r="R44" s="2" t="inlineStr">
        <is>
          <t>Yes</t>
        </is>
      </c>
      <c r="S44" s="2" t="inlineStr">
        <is>
          <t>Finneiss DB (exact); VSIP1 Company Directory PDF</t>
        </is>
      </c>
      <c r="T44" s="4" t="n"/>
      <c r="U44" s="4" t="n"/>
    </row>
    <row r="45" ht="18" customHeight="1" s="43">
      <c r="A45" s="5" t="n">
        <v>31</v>
      </c>
      <c r="B45" s="5" t="inlineStr">
        <is>
          <t>CTY TNHH KHÍ CN MESSER VN</t>
        </is>
      </c>
      <c r="C45" s="5" t="inlineStr">
        <is>
          <t>Provider</t>
        </is>
      </c>
      <c r="D45" s="5" t="inlineStr">
        <is>
          <t>FERROUS_METAL</t>
        </is>
      </c>
      <c r="E45" s="42" t="n">
        <v>10.937337</v>
      </c>
      <c r="F45" s="42" t="n">
        <v>106.715078</v>
      </c>
      <c r="G45" s="42" t="n">
        <v>2.9</v>
      </c>
      <c r="H45" s="42" t="n">
        <v>0.2</v>
      </c>
      <c r="I45" s="59" t="n">
        <v>5</v>
      </c>
      <c r="J45" s="5" t="n">
        <v>20112</v>
      </c>
      <c r="K45" s="5" t="inlineStr">
        <is>
          <t>Manufacture of industrial gases</t>
        </is>
      </c>
      <c r="L45" s="5" t="n">
        <v>2011</v>
      </c>
      <c r="M45" s="5" t="inlineStr">
        <is>
          <t>Supplies industrial gases such as oxygen, nitrogen, and argon for various industries.</t>
        </is>
      </c>
      <c r="N45" s="5" t="inlineStr">
        <is>
          <t>- Gas emissions
- Used gas cylinders
- Packaging waste
- Wastewater from equipment cleaning processes</t>
        </is>
      </c>
      <c r="O45" s="5" t="inlineStr">
        <is>
          <t>21 Đường 3</t>
        </is>
      </c>
      <c r="P45" s="5" t="n">
        <v>75209</v>
      </c>
      <c r="Q45" s="5" t="inlineStr">
        <is>
          <t>Yes</t>
        </is>
      </c>
      <c r="R45" s="5" t="inlineStr">
        <is>
          <t>Yes</t>
        </is>
      </c>
      <c r="S45" s="5" t="inlineStr">
        <is>
          <t>Finneiss DB (exact); VSIP1 Company Directory PDF</t>
        </is>
      </c>
      <c r="T45" s="7" t="n"/>
      <c r="U45" s="7" t="n"/>
    </row>
    <row r="46" ht="18" customHeight="1" s="43">
      <c r="A46" s="2" t="n">
        <v>39</v>
      </c>
      <c r="B46" s="2" t="inlineStr">
        <is>
          <t>CÔNG TY TNHH KOK FENG (VN)</t>
        </is>
      </c>
      <c r="C46" s="2" t="inlineStr">
        <is>
          <t>Provider</t>
        </is>
      </c>
      <c r="D46" s="2" t="inlineStr">
        <is>
          <t>FERROUS_METAL</t>
        </is>
      </c>
      <c r="E46" s="41" t="n">
        <v>10.931062</v>
      </c>
      <c r="F46" s="41" t="n">
        <v>106.721312</v>
      </c>
      <c r="G46" s="41" t="n">
        <v>4.5</v>
      </c>
      <c r="H46" s="41" t="n">
        <v>0.2</v>
      </c>
      <c r="I46" s="59" t="n">
        <v>5</v>
      </c>
      <c r="J46" s="2" t="n">
        <v>27120</v>
      </c>
      <c r="K46" s="2" t="inlineStr">
        <is>
          <t>Manufacture of electricity distribution and control apparatus</t>
        </is>
      </c>
      <c r="L46" s="2" t="n">
        <v>2712</v>
      </c>
      <c r="M46" s="2" t="inlineStr">
        <is>
          <t>Manufactures electrical cabinets and related components.</t>
        </is>
      </c>
      <c r="N46" s="2" t="inlineStr">
        <is>
          <t>- Metal and plastic scraps
- Paint and solvent waste
- Packaging waste
- Wastewater from cleaning processes</t>
        </is>
      </c>
      <c r="O46" s="2" t="inlineStr">
        <is>
          <t>19B ĐƯỜNG 4</t>
        </is>
      </c>
      <c r="P46" s="2" t="n">
        <v>75214</v>
      </c>
      <c r="Q46" s="2" t="inlineStr">
        <is>
          <t>Yes</t>
        </is>
      </c>
      <c r="R46" s="2" t="inlineStr">
        <is>
          <t>Yes</t>
        </is>
      </c>
      <c r="S46" s="2" t="inlineStr">
        <is>
          <t>Finneiss DB (exact); VSIP1 Company Directory PDF</t>
        </is>
      </c>
      <c r="T46" s="4" t="n"/>
      <c r="U46" s="4" t="n"/>
    </row>
    <row r="47" ht="18" customHeight="1" s="43">
      <c r="A47" s="5" t="n">
        <v>40</v>
      </c>
      <c r="B47" s="5" t="inlineStr">
        <is>
          <t>CÔNG TY TNHH CHUAN HO (VN)</t>
        </is>
      </c>
      <c r="C47" s="5" t="inlineStr">
        <is>
          <t>Provider</t>
        </is>
      </c>
      <c r="D47" s="5" t="inlineStr">
        <is>
          <t>FERROUS_METAL</t>
        </is>
      </c>
      <c r="E47" s="42" t="n">
        <v>10.934812</v>
      </c>
      <c r="F47" s="42" t="n">
        <v>106.706437</v>
      </c>
      <c r="G47" s="42" t="n">
        <v>2.1</v>
      </c>
      <c r="H47" s="42" t="n">
        <v>0.2</v>
      </c>
      <c r="I47" s="59" t="n">
        <v>5</v>
      </c>
      <c r="J47" s="5" t="n">
        <v>25920</v>
      </c>
      <c r="K47" s="5" t="inlineStr">
        <is>
          <t>Manufacture of light metal packaging</t>
        </is>
      </c>
      <c r="L47" s="5" t="n">
        <v>2592</v>
      </c>
      <c r="M47" s="5" t="inlineStr">
        <is>
          <t>Specializes in precision machining and manufacturing of metal parts.</t>
        </is>
      </c>
      <c r="N47" s="5" t="inlineStr">
        <is>
          <t>- Metal shavings
- Lubricant and coolant waste
- Packaging waste
- Wastewater from cleaning processes</t>
        </is>
      </c>
      <c r="O47" s="5" t="inlineStr">
        <is>
          <t>17B ĐƯỜNG 4</t>
        </is>
      </c>
      <c r="P47" s="5" t="n">
        <v>75214</v>
      </c>
      <c r="Q47" s="5" t="inlineStr">
        <is>
          <t>Yes</t>
        </is>
      </c>
      <c r="R47" s="5" t="inlineStr">
        <is>
          <t>Yes</t>
        </is>
      </c>
      <c r="S47" s="5" t="inlineStr">
        <is>
          <t>Finneiss DB (exact); VSIP1 Company Directory PDF</t>
        </is>
      </c>
      <c r="T47" s="7" t="n"/>
      <c r="U47" s="7" t="n"/>
    </row>
    <row r="48" ht="18" customHeight="1" s="43">
      <c r="A48" s="2" t="n">
        <v>46</v>
      </c>
      <c r="B48" s="2" t="inlineStr">
        <is>
          <t>CÔNG TY TNHH COMPASS 2</t>
        </is>
      </c>
      <c r="C48" s="2" t="inlineStr">
        <is>
          <t>Provider</t>
        </is>
      </c>
      <c r="D48" s="2" t="inlineStr">
        <is>
          <t>FERROUS_METAL</t>
        </is>
      </c>
      <c r="E48" s="41" t="n">
        <v>10.927663</v>
      </c>
      <c r="F48" s="41" t="n">
        <v>106.729297</v>
      </c>
      <c r="G48" s="41" t="n">
        <v>3.7</v>
      </c>
      <c r="H48" s="41" t="n">
        <v>0.2</v>
      </c>
      <c r="I48" s="59" t="n">
        <v>5</v>
      </c>
      <c r="J48" s="2" t="n">
        <v>25999</v>
      </c>
      <c r="K48" s="2" t="inlineStr">
        <is>
          <t>Manufacture of other fabricated metal products n.e.c.</t>
        </is>
      </c>
      <c r="L48" s="2" t="n">
        <v>2599</v>
      </c>
      <c r="M48" s="2" t="inlineStr">
        <is>
          <t>Produces fabricated metal products such as storage racks, lockers, and steel furniture.</t>
        </is>
      </c>
      <c r="N48" s="2" t="inlineStr">
        <is>
          <t>- Metal scrap and shavings
- Powder coating or paint waste
- Packaging waste
- Wastewater from fabrication</t>
        </is>
      </c>
      <c r="O48" s="2" t="inlineStr">
        <is>
          <t>35 Đại lộ Độc lập</t>
        </is>
      </c>
      <c r="P48" s="2" t="n">
        <v>75209</v>
      </c>
      <c r="Q48" s="2" t="inlineStr">
        <is>
          <t>Yes</t>
        </is>
      </c>
      <c r="R48" s="2" t="inlineStr">
        <is>
          <t>Yes</t>
        </is>
      </c>
      <c r="S48" s="2" t="inlineStr">
        <is>
          <t>Finneiss DB (exact); VSIP1 Company Directory PDF</t>
        </is>
      </c>
      <c r="T48" s="4" t="n"/>
      <c r="U48" s="4" t="n"/>
    </row>
    <row r="49" ht="18" customHeight="1" s="43">
      <c r="A49" s="5" t="n">
        <v>52</v>
      </c>
      <c r="B49" s="5" t="inlineStr">
        <is>
          <t>CÔNG TY TNHH ZENG HSING INDUSTRIAL</t>
        </is>
      </c>
      <c r="C49" s="5" t="inlineStr">
        <is>
          <t>Provider</t>
        </is>
      </c>
      <c r="D49" s="5" t="inlineStr">
        <is>
          <t>FERROUS_METAL</t>
        </is>
      </c>
      <c r="E49" s="42" t="n">
        <v>10.938063</v>
      </c>
      <c r="F49" s="42" t="n">
        <v>106.725313</v>
      </c>
      <c r="G49" s="42" t="n">
        <v>2.5</v>
      </c>
      <c r="H49" s="42" t="n">
        <v>0.2</v>
      </c>
      <c r="I49" s="59" t="n">
        <v>5</v>
      </c>
      <c r="J49" s="5" t="n">
        <v>28260</v>
      </c>
      <c r="K49" s="5" t="inlineStr">
        <is>
          <t>Manufacture of machinery for textile, apparel and leather production</t>
        </is>
      </c>
      <c r="L49" s="5" t="n">
        <v>2894</v>
      </c>
      <c r="M49" s="5" t="inlineStr">
        <is>
          <t>Manufactures sewing machines and related components.</t>
        </is>
      </c>
      <c r="N49" s="5" t="inlineStr">
        <is>
          <t>- Metal shavings
- Lubricant and coolant waste
- Packaging waste
- Wastewater from cleaning processes</t>
        </is>
      </c>
      <c r="O49" s="5" t="inlineStr">
        <is>
          <t>20A ĐƯỜNG 6</t>
        </is>
      </c>
      <c r="P49" s="5" t="n">
        <v>75209</v>
      </c>
      <c r="Q49" s="5" t="inlineStr">
        <is>
          <t>No</t>
        </is>
      </c>
      <c r="R49" s="5" t="inlineStr">
        <is>
          <t>Yes</t>
        </is>
      </c>
      <c r="S49" s="5" t="inlineStr">
        <is>
          <t>Finneiss DB (exact)</t>
        </is>
      </c>
      <c r="T49" s="7" t="n"/>
      <c r="U49" s="7" t="n"/>
    </row>
    <row r="50" ht="18" customHeight="1" s="43">
      <c r="A50" s="2" t="n">
        <v>53</v>
      </c>
      <c r="B50" s="2" t="inlineStr">
        <is>
          <t>CÔNG TY TNHH MIDEA CONSUMER ELECTRIC (VN)</t>
        </is>
      </c>
      <c r="C50" s="2" t="inlineStr">
        <is>
          <t>Provider</t>
        </is>
      </c>
      <c r="D50" s="2" t="inlineStr">
        <is>
          <t>FERROUS_METAL</t>
        </is>
      </c>
      <c r="E50" s="41" t="n">
        <v>10.937687</v>
      </c>
      <c r="F50" s="41" t="n">
        <v>106.735563</v>
      </c>
      <c r="G50" s="41" t="n">
        <v>0.3</v>
      </c>
      <c r="H50" s="41" t="n">
        <v>0.2</v>
      </c>
      <c r="I50" s="59" t="n">
        <v>5</v>
      </c>
      <c r="J50" s="2" t="n">
        <v>27500</v>
      </c>
      <c r="K50" s="2" t="inlineStr">
        <is>
          <t>Manufacture of domestic appliances</t>
        </is>
      </c>
      <c r="L50" s="2" t="n">
        <v>2751</v>
      </c>
      <c r="M50" s="2" t="inlineStr">
        <is>
          <t>Manufactures household electrical appliances such as vacuum cleaners, rice cookers, and electric fans.</t>
        </is>
      </c>
      <c r="N50" s="2" t="inlineStr">
        <is>
          <t>- Electronic waste
- Plastic and metal scraps
- Packaging waste
- Wastewater from cleaning processes</t>
        </is>
      </c>
      <c r="O50" s="2" t="inlineStr">
        <is>
          <t>40 ĐƯỜNG 6</t>
        </is>
      </c>
      <c r="P50" s="2" t="n">
        <v>75209</v>
      </c>
      <c r="Q50" s="2" t="inlineStr">
        <is>
          <t>No</t>
        </is>
      </c>
      <c r="R50" s="2" t="inlineStr">
        <is>
          <t>Yes</t>
        </is>
      </c>
      <c r="S50" s="2" t="inlineStr">
        <is>
          <t>Finneiss DB (exact)</t>
        </is>
      </c>
      <c r="T50" s="4" t="n"/>
      <c r="U50" s="4" t="n"/>
    </row>
    <row r="51" ht="18" customHeight="1" s="43">
      <c r="A51" s="5" t="n">
        <v>56</v>
      </c>
      <c r="B51" s="5" t="inlineStr">
        <is>
          <t>CÔNG TY TNHH APM SPRINGS (VN)</t>
        </is>
      </c>
      <c r="C51" s="5" t="inlineStr">
        <is>
          <t>Provider</t>
        </is>
      </c>
      <c r="D51" s="5" t="inlineStr">
        <is>
          <t>FERROUS_METAL</t>
        </is>
      </c>
      <c r="E51" s="42" t="n">
        <v>10.934687</v>
      </c>
      <c r="F51" s="42" t="n">
        <v>106.728813</v>
      </c>
      <c r="G51" s="42" t="n">
        <v>1.5</v>
      </c>
      <c r="H51" s="42" t="n">
        <v>0.2</v>
      </c>
      <c r="I51" s="59" t="n">
        <v>5</v>
      </c>
      <c r="J51" s="5" t="n">
        <v>25991</v>
      </c>
      <c r="K51" s="5" t="inlineStr">
        <is>
          <t>Manufacture of springs</t>
        </is>
      </c>
      <c r="L51" s="5" t="n">
        <v>2591</v>
      </c>
      <c r="M51" s="5" t="inlineStr">
        <is>
          <t>Manufactures automotive springs and components.</t>
        </is>
      </c>
      <c r="N51" s="5" t="inlineStr">
        <is>
          <t>- Metal shavings
- Lubricant and coolant waste
- Packaging and wastewater from machining</t>
        </is>
      </c>
      <c r="O51" s="5" t="inlineStr">
        <is>
          <t>25 Đại lộ tự do</t>
        </is>
      </c>
      <c r="P51" s="5" t="n">
        <v>75209</v>
      </c>
      <c r="Q51" s="5" t="inlineStr">
        <is>
          <t>No</t>
        </is>
      </c>
      <c r="R51" s="5" t="inlineStr">
        <is>
          <t>Yes</t>
        </is>
      </c>
      <c r="S51" s="5" t="inlineStr">
        <is>
          <t>Finneiss DB (exact)</t>
        </is>
      </c>
      <c r="T51" s="7" t="n"/>
      <c r="U51" s="7" t="n"/>
    </row>
    <row r="52" ht="18" customHeight="1" s="43">
      <c r="A52" s="2" t="n">
        <v>58</v>
      </c>
      <c r="B52" s="2" t="inlineStr">
        <is>
          <t>CÔNG TY TNHH VN HWA YANG</t>
        </is>
      </c>
      <c r="C52" s="2" t="inlineStr">
        <is>
          <t>Provider</t>
        </is>
      </c>
      <c r="D52" s="2" t="inlineStr">
        <is>
          <t>FERROUS_METAL</t>
        </is>
      </c>
      <c r="E52" s="41" t="n">
        <v>10.936813</v>
      </c>
      <c r="F52" s="41" t="n">
        <v>106.738438</v>
      </c>
      <c r="G52" s="41" t="n">
        <v>5.4</v>
      </c>
      <c r="H52" s="41" t="n">
        <v>0.2</v>
      </c>
      <c r="I52" s="59" t="n">
        <v>5</v>
      </c>
      <c r="J52" s="2" t="n">
        <v>25931</v>
      </c>
      <c r="K52" s="2" t="inlineStr">
        <is>
          <t>Manufacture of fasteners and screw machine products</t>
        </is>
      </c>
      <c r="L52" s="2" t="n">
        <v>2594</v>
      </c>
      <c r="M52" s="2" t="inlineStr">
        <is>
          <t>Manufactures zippers and related accessories for garments.</t>
        </is>
      </c>
      <c r="N52" s="2" t="inlineStr">
        <is>
          <t>- Metal and plastic scraps
- Chemical waste from plating
- Packaging waste
- Wastewater from cleaning processes</t>
        </is>
      </c>
      <c r="O52" s="2" t="inlineStr">
        <is>
          <t>49 ĐƯỜNG 6</t>
        </is>
      </c>
      <c r="P52" s="2" t="n">
        <v>75209</v>
      </c>
      <c r="Q52" s="2" t="inlineStr">
        <is>
          <t>No</t>
        </is>
      </c>
      <c r="R52" s="2" t="inlineStr">
        <is>
          <t>Yes</t>
        </is>
      </c>
      <c r="S52" s="2" t="inlineStr">
        <is>
          <t>Finneiss DB (exact)</t>
        </is>
      </c>
      <c r="T52" s="4" t="n"/>
      <c r="U52" s="4" t="n"/>
    </row>
    <row r="53" ht="18" customHeight="1" s="43">
      <c r="A53" s="5" t="n">
        <v>65</v>
      </c>
      <c r="B53" s="5" t="inlineStr">
        <is>
          <t>CÔNG TY TNHH UCHIHASHI VN</t>
        </is>
      </c>
      <c r="C53" s="5" t="inlineStr">
        <is>
          <t>Provider</t>
        </is>
      </c>
      <c r="D53" s="5" t="inlineStr">
        <is>
          <t>FERROUS_METAL</t>
        </is>
      </c>
      <c r="E53" s="42" t="n">
        <v>11.081312</v>
      </c>
      <c r="F53" s="42" t="n">
        <v>106.681687</v>
      </c>
      <c r="G53" s="42" t="n">
        <v>1.8</v>
      </c>
      <c r="H53" s="42" t="n">
        <v>0.2</v>
      </c>
      <c r="I53" s="59" t="n">
        <v>5</v>
      </c>
      <c r="J53" s="5" t="n">
        <v>27900</v>
      </c>
      <c r="K53" s="5" t="inlineStr">
        <is>
          <t>Manufacture of other electrical equipment</t>
        </is>
      </c>
      <c r="L53" s="5" t="n">
        <v>2790</v>
      </c>
      <c r="M53" s="5" t="inlineStr">
        <is>
          <t>Manufactures bimetal thermostats and heat control devices.</t>
        </is>
      </c>
      <c r="N53" s="5" t="inlineStr">
        <is>
          <t>- Electronic waste
- Metal scraps
- Packaging waste
- Cleaning-related wastewater</t>
        </is>
      </c>
      <c r="O53" s="5" t="inlineStr">
        <is>
          <t>23 ĐƯỜNG 4</t>
        </is>
      </c>
      <c r="P53" s="5" t="n">
        <v>75900</v>
      </c>
      <c r="Q53" s="5" t="inlineStr">
        <is>
          <t>No</t>
        </is>
      </c>
      <c r="R53" s="5" t="inlineStr">
        <is>
          <t>Yes</t>
        </is>
      </c>
      <c r="S53" s="5" t="inlineStr">
        <is>
          <t>Finneiss DB (exact)</t>
        </is>
      </c>
      <c r="T53" s="7" t="n"/>
      <c r="U53" s="7" t="n"/>
    </row>
    <row r="54" ht="18" customHeight="1" s="43">
      <c r="A54" s="2" t="n">
        <v>69</v>
      </c>
      <c r="B54" s="2" t="inlineStr">
        <is>
          <t>CÔNG TY TNHH HI – TECH WIRES ASIA</t>
        </is>
      </c>
      <c r="C54" s="2" t="inlineStr">
        <is>
          <t>Provider</t>
        </is>
      </c>
      <c r="D54" s="2" t="inlineStr">
        <is>
          <t>FERROUS_METAL</t>
        </is>
      </c>
      <c r="E54" s="41" t="n">
        <v>10.937687</v>
      </c>
      <c r="F54" s="41" t="n">
        <v>106.738438</v>
      </c>
      <c r="G54" s="41" t="n">
        <v>0.9</v>
      </c>
      <c r="H54" s="41" t="n">
        <v>0.2</v>
      </c>
      <c r="I54" s="59" t="n">
        <v>5</v>
      </c>
      <c r="J54" s="2" t="n">
        <v>25930</v>
      </c>
      <c r="K54" s="2" t="inlineStr">
        <is>
          <t>Manufacture of wire products, chain and springs</t>
        </is>
      </c>
      <c r="L54" s="2" t="n">
        <v>2593</v>
      </c>
      <c r="M54" s="2" t="inlineStr">
        <is>
          <t>Produces steel wires and related metal products for various industrial applications.</t>
        </is>
      </c>
      <c r="N54" s="2" t="inlineStr">
        <is>
          <t>- Metal shavings and machining waste
- Lubricant and coolant waste
- Packaging waste
- Wastewater from cleaning processes</t>
        </is>
      </c>
      <c r="O54" s="2" t="inlineStr">
        <is>
          <t>46 ĐƯỜNG 6</t>
        </is>
      </c>
      <c r="P54" s="2" t="n">
        <v>75209</v>
      </c>
      <c r="Q54" s="2" t="inlineStr">
        <is>
          <t>No</t>
        </is>
      </c>
      <c r="R54" s="2" t="inlineStr">
        <is>
          <t>Yes</t>
        </is>
      </c>
      <c r="S54" s="2" t="inlineStr">
        <is>
          <t>Finneiss DB (exact)</t>
        </is>
      </c>
      <c r="T54" s="4" t="n"/>
      <c r="U54" s="4" t="n"/>
    </row>
    <row r="55" ht="18" customHeight="1" s="43">
      <c r="A55" s="5" t="n">
        <v>75</v>
      </c>
      <c r="B55" s="5" t="inlineStr">
        <is>
          <t>TONG CHANG ELECTRIC MACHINERY CO., LTD</t>
        </is>
      </c>
      <c r="C55" s="5" t="inlineStr">
        <is>
          <t>Provider</t>
        </is>
      </c>
      <c r="D55" s="5" t="inlineStr">
        <is>
          <t>FERROUS_METAL</t>
        </is>
      </c>
      <c r="E55" s="42" t="n">
        <v>10.927312</v>
      </c>
      <c r="F55" s="42" t="n">
        <v>106.717813</v>
      </c>
      <c r="G55" s="42" t="n">
        <v>1.3</v>
      </c>
      <c r="H55" s="42" t="n">
        <v>0.2</v>
      </c>
      <c r="I55" s="59" t="n">
        <v>5</v>
      </c>
      <c r="J55" s="5" t="n">
        <v>27110</v>
      </c>
      <c r="K55" s="5" t="inlineStr">
        <is>
          <t>Manufacture of electric motors, generators, transformers and electricity distribution equipment</t>
        </is>
      </c>
      <c r="L55" s="5" t="n">
        <v>2711</v>
      </c>
      <c r="M55" s="5" t="inlineStr">
        <is>
          <t>Manufactures electric motors and machinery parts.</t>
        </is>
      </c>
      <c r="N55" s="5" t="inlineStr">
        <is>
          <t>- Metal scrap and shavings
- Electrical waste (wiring, coils)
- Packaging waste (boxes, films)
- Wastewater from equipment cleaning</t>
        </is>
      </c>
      <c r="O55" s="5" t="inlineStr">
        <is>
          <t>7Đại lộ Độc lập</t>
        </is>
      </c>
      <c r="P55" s="5" t="n">
        <v>75214</v>
      </c>
      <c r="Q55" s="5" t="inlineStr">
        <is>
          <t>No</t>
        </is>
      </c>
      <c r="R55" s="5" t="inlineStr">
        <is>
          <t>Yes</t>
        </is>
      </c>
      <c r="S55" s="5" t="inlineStr">
        <is>
          <t>Finneiss DB (exact)</t>
        </is>
      </c>
      <c r="T55" s="7" t="n"/>
      <c r="U55" s="7" t="n"/>
    </row>
    <row r="56" ht="18" customHeight="1" s="43">
      <c r="A56" s="5" t="n">
        <v>82</v>
      </c>
      <c r="B56" s="5" t="inlineStr">
        <is>
          <t>CÔNG TY TNHH HYUN DAE SM VINA</t>
        </is>
      </c>
      <c r="C56" s="5" t="inlineStr">
        <is>
          <t>Provider</t>
        </is>
      </c>
      <c r="D56" s="5" t="inlineStr">
        <is>
          <t>TEXTILE_WASTE</t>
        </is>
      </c>
      <c r="E56" s="42" t="n">
        <v>10.929312</v>
      </c>
      <c r="F56" s="42" t="n">
        <v>106.724187</v>
      </c>
      <c r="G56" s="42" t="n">
        <v>2.3</v>
      </c>
      <c r="H56" s="42" t="n">
        <v>0.2</v>
      </c>
      <c r="I56" s="59" t="n">
        <v>5</v>
      </c>
      <c r="J56" s="5" t="n">
        <v>13300</v>
      </c>
      <c r="K56" s="5" t="inlineStr">
        <is>
          <t>Finishing of textiles</t>
        </is>
      </c>
      <c r="L56" s="5" t="n">
        <v>1330</v>
      </c>
      <c r="M56" s="5" t="inlineStr">
        <is>
          <t>Specializes in textile finishing, coating, and lamination.</t>
        </is>
      </c>
      <c r="N56" s="5" t="inlineStr">
        <is>
          <t>- Chemical coating waste
- Textile residues
- Wastewater from processes
- Packaging waste</t>
        </is>
      </c>
      <c r="O56" s="5" t="inlineStr">
        <is>
          <t>9 ĐƯỜNG 8</t>
        </is>
      </c>
      <c r="P56" s="5" t="n">
        <v>75214</v>
      </c>
      <c r="Q56" s="5" t="inlineStr">
        <is>
          <t>No</t>
        </is>
      </c>
      <c r="R56" s="5" t="inlineStr">
        <is>
          <t>Yes</t>
        </is>
      </c>
      <c r="S56" s="5" t="inlineStr">
        <is>
          <t>Finneiss DB (exact)</t>
        </is>
      </c>
      <c r="T56" s="7" t="n"/>
      <c r="U56" s="7" t="n"/>
    </row>
    <row r="57" ht="18" customHeight="1" s="43">
      <c r="A57" s="2" t="n">
        <v>80</v>
      </c>
      <c r="B57" s="2" t="inlineStr">
        <is>
          <t>CÔNG TY TNHH APPAREL FAR EASTERN (VN)</t>
        </is>
      </c>
      <c r="C57" s="2" t="inlineStr">
        <is>
          <t>Provider</t>
        </is>
      </c>
      <c r="D57" s="2" t="inlineStr">
        <is>
          <t>TEXTILE_WASTE</t>
        </is>
      </c>
      <c r="E57" s="41" t="n">
        <v>10.935187</v>
      </c>
      <c r="F57" s="41" t="n">
        <v>106.737562</v>
      </c>
      <c r="G57" s="41" t="n">
        <v>3.4</v>
      </c>
      <c r="H57" s="41" t="n">
        <v>0.2</v>
      </c>
      <c r="I57" s="59" t="n">
        <v>5</v>
      </c>
      <c r="J57" s="2" t="n">
        <v>14100</v>
      </c>
      <c r="K57" s="2" t="inlineStr">
        <is>
          <t>Manufacture of wearing apparel, except fur apparel</t>
        </is>
      </c>
      <c r="L57" s="2" t="n">
        <v>141</v>
      </c>
      <c r="M57" s="2" t="inlineStr">
        <is>
          <t>Manufactures textiles and garments for export.</t>
        </is>
      </c>
      <c r="N57" s="2" t="inlineStr">
        <is>
          <t>- Textile offcuts
- Wastewater from dyeing
- Chemical residues
- Packaging waste</t>
        </is>
      </c>
      <c r="O57" s="2" t="inlineStr">
        <is>
          <t>11 ĐƯỜNG 4</t>
        </is>
      </c>
      <c r="P57" s="2" t="n">
        <v>75209</v>
      </c>
      <c r="Q57" s="2" t="inlineStr">
        <is>
          <t>Yes</t>
        </is>
      </c>
      <c r="R57" s="2" t="inlineStr">
        <is>
          <t>Yes</t>
        </is>
      </c>
      <c r="S57" s="2" t="inlineStr">
        <is>
          <t>Finneiss DB (exact); VSIP1 Company Directory PDF</t>
        </is>
      </c>
      <c r="T57" s="4" t="n"/>
      <c r="U57" s="4" t="n"/>
    </row>
    <row r="58" ht="18" customHeight="1" s="43">
      <c r="A58" s="5" t="n">
        <v>9</v>
      </c>
      <c r="B58" s="5" t="inlineStr">
        <is>
          <t>CÔNG TY TNHH DỆT DERHAO (VN)</t>
        </is>
      </c>
      <c r="C58" s="5" t="inlineStr">
        <is>
          <t>Provider</t>
        </is>
      </c>
      <c r="D58" s="5" t="inlineStr">
        <is>
          <t>TEXTILE_WASTE</t>
        </is>
      </c>
      <c r="E58" s="42" t="n">
        <v>10.914438</v>
      </c>
      <c r="F58" s="42" t="n">
        <v>106.713437</v>
      </c>
      <c r="G58" s="42" t="n">
        <v>5.6</v>
      </c>
      <c r="H58" s="42" t="n">
        <v>0.2</v>
      </c>
      <c r="I58" s="59" t="n">
        <v>5</v>
      </c>
      <c r="J58" s="5" t="n">
        <v>13120</v>
      </c>
      <c r="K58" s="5" t="inlineStr">
        <is>
          <t>Weaving of textiles</t>
        </is>
      </c>
      <c r="L58" s="5" t="n">
        <v>1320</v>
      </c>
      <c r="M58" s="5" t="inlineStr">
        <is>
          <t>Produces jacquard woven fabrics for tablecloths, curtains, cushions, and sofas.</t>
        </is>
      </c>
      <c r="N58" s="5" t="inlineStr">
        <is>
          <t>- Textile waste
- Dye waste
- Wastewater
- Packaging waste</t>
        </is>
      </c>
      <c r="O58" s="5" t="inlineStr">
        <is>
          <t>21 Đại lộ Hữu Nghị</t>
        </is>
      </c>
      <c r="P58" s="5" t="n">
        <v>75214</v>
      </c>
      <c r="Q58" s="5" t="inlineStr">
        <is>
          <t>Yes</t>
        </is>
      </c>
      <c r="R58" s="5" t="inlineStr">
        <is>
          <t>Yes</t>
        </is>
      </c>
      <c r="S58" s="5" t="inlineStr">
        <is>
          <t>Finneiss DB (exact); VSIP1 Company Directory PDF</t>
        </is>
      </c>
      <c r="T58" s="7" t="n"/>
      <c r="U58" s="7" t="n"/>
    </row>
    <row r="59" ht="18" customHeight="1" s="43">
      <c r="A59" s="2" t="n">
        <v>66</v>
      </c>
      <c r="B59" s="2" t="inlineStr">
        <is>
          <t>CÔNG TY TNHH SG KNITWEAR</t>
        </is>
      </c>
      <c r="C59" s="2" t="inlineStr">
        <is>
          <t>Provider</t>
        </is>
      </c>
      <c r="D59" s="2" t="inlineStr">
        <is>
          <t>TEXTILE_WASTE</t>
        </is>
      </c>
      <c r="E59" s="41" t="n">
        <v>10.929063</v>
      </c>
      <c r="F59" s="41" t="n">
        <v>106.720438</v>
      </c>
      <c r="G59" s="41" t="n">
        <v>8.800000000000001</v>
      </c>
      <c r="H59" s="41" t="n">
        <v>0.2</v>
      </c>
      <c r="I59" s="59" t="n">
        <v>5</v>
      </c>
      <c r="J59" s="2" t="n">
        <v>14100</v>
      </c>
      <c r="K59" s="2" t="inlineStr">
        <is>
          <t>Manufacture of wearing apparel, except fur apparel</t>
        </is>
      </c>
      <c r="L59" s="2" t="n">
        <v>141</v>
      </c>
      <c r="M59" s="2" t="inlineStr">
        <is>
          <t>Produces knitted garments and textile products for export.</t>
        </is>
      </c>
      <c r="N59" s="2" t="inlineStr">
        <is>
          <t>- Textile waste
- Dye and chemical waste
- Packaging waste
- Wastewater from dyeing/washing</t>
        </is>
      </c>
      <c r="O59" s="2" t="inlineStr">
        <is>
          <t>6B ĐƯỜNG 2A</t>
        </is>
      </c>
      <c r="P59" s="2" t="n">
        <v>75214</v>
      </c>
      <c r="Q59" s="2" t="inlineStr">
        <is>
          <t>Yes</t>
        </is>
      </c>
      <c r="R59" s="2" t="inlineStr">
        <is>
          <t>Yes</t>
        </is>
      </c>
      <c r="S59" s="2" t="inlineStr">
        <is>
          <t>Finneiss DB (exact); VSIP1 Company Directory PDF</t>
        </is>
      </c>
      <c r="T59" s="4" t="n"/>
      <c r="U59" s="4" t="n"/>
    </row>
    <row r="60" ht="18" customHeight="1" s="43">
      <c r="A60" s="5" t="n">
        <v>6</v>
      </c>
      <c r="B60" s="5" t="inlineStr">
        <is>
          <t>CÔNG TY TNHH ESQUEL GARMENT (VN)</t>
        </is>
      </c>
      <c r="C60" s="5" t="inlineStr">
        <is>
          <t>Provider</t>
        </is>
      </c>
      <c r="D60" s="5" t="inlineStr">
        <is>
          <t>TEXTILE_WASTE</t>
        </is>
      </c>
      <c r="E60" s="42" t="n">
        <v>10.929562</v>
      </c>
      <c r="F60" s="42" t="n">
        <v>106.723938</v>
      </c>
      <c r="G60" s="42" t="n">
        <v>3.2</v>
      </c>
      <c r="H60" s="42" t="n">
        <v>0.2</v>
      </c>
      <c r="I60" s="59" t="n">
        <v>5</v>
      </c>
      <c r="J60" s="5" t="n">
        <v>14100</v>
      </c>
      <c r="K60" s="5" t="inlineStr">
        <is>
          <t>Manufacture of wearing apparel, except fur apparel</t>
        </is>
      </c>
      <c r="L60" s="5" t="n">
        <v>141</v>
      </c>
      <c r="M60" s="5" t="inlineStr">
        <is>
          <t>Manufactures garments, especially shirts for export.</t>
        </is>
      </c>
      <c r="N60" s="5" t="inlineStr">
        <is>
          <t>- Textile waste
- Wastewater from dyeing/washing
- Packaging waste (bags, boxes)</t>
        </is>
      </c>
      <c r="O60" s="5" t="inlineStr">
        <is>
          <t>9 ĐƯỜNG 5</t>
        </is>
      </c>
      <c r="P60" s="5" t="n">
        <v>75214</v>
      </c>
      <c r="Q60" s="5" t="inlineStr">
        <is>
          <t>Yes</t>
        </is>
      </c>
      <c r="R60" s="5" t="inlineStr">
        <is>
          <t>Yes</t>
        </is>
      </c>
      <c r="S60" s="5" t="inlineStr">
        <is>
          <t>Finneiss DB (exact); VSIP1 Company Directory PDF</t>
        </is>
      </c>
      <c r="T60" s="7" t="n"/>
      <c r="U60" s="7" t="n"/>
    </row>
    <row r="61" ht="18" customHeight="1" s="43">
      <c r="A61" s="2" t="n">
        <v>22</v>
      </c>
      <c r="B61" s="2" t="inlineStr">
        <is>
          <t>CÔNG TY TNHH TSUCHIYA TSCO VN</t>
        </is>
      </c>
      <c r="C61" s="2" t="inlineStr">
        <is>
          <t>Provider</t>
        </is>
      </c>
      <c r="D61" s="2" t="inlineStr">
        <is>
          <t>TEXTILE_WASTE</t>
        </is>
      </c>
      <c r="E61" s="41" t="n">
        <v>10.927188</v>
      </c>
      <c r="F61" s="41" t="n">
        <v>106.717438</v>
      </c>
      <c r="G61" s="41" t="n">
        <v>2</v>
      </c>
      <c r="H61" s="41" t="n">
        <v>0.2</v>
      </c>
      <c r="I61" s="59" t="n">
        <v>5</v>
      </c>
      <c r="J61" s="2" t="n">
        <v>13990</v>
      </c>
      <c r="K61" s="2" t="inlineStr">
        <is>
          <t>Manufacture of other textiles n.e.c.</t>
        </is>
      </c>
      <c r="L61" s="2" t="n">
        <v>1399</v>
      </c>
      <c r="M61" s="2" t="inlineStr">
        <is>
          <t>Manufactures industrial textile materials, including coated fabrics and technical tapes.</t>
        </is>
      </c>
      <c r="N61" s="2" t="inlineStr">
        <is>
          <t>- Textile offcuts and scraps
- Chemical waste from coating processes
- Packaging waste (e.g., plastic films, boxes)
- Wastewater from cleaning processes</t>
        </is>
      </c>
      <c r="O61" s="2" t="inlineStr">
        <is>
          <t>5 Đại lộ Độc lập</t>
        </is>
      </c>
      <c r="P61" s="2" t="n">
        <v>75214</v>
      </c>
      <c r="Q61" s="2" t="inlineStr">
        <is>
          <t>Yes</t>
        </is>
      </c>
      <c r="R61" s="2" t="inlineStr">
        <is>
          <t>Yes</t>
        </is>
      </c>
      <c r="S61" s="2" t="inlineStr">
        <is>
          <t>Finneiss DB (exact); VSIP1 Company Directory PDF</t>
        </is>
      </c>
      <c r="T61" s="4" t="n"/>
      <c r="U61" s="4" t="n"/>
    </row>
    <row r="62" ht="18" customHeight="1" s="43">
      <c r="A62" s="2" t="n">
        <v>61</v>
      </c>
      <c r="B62" s="2" t="inlineStr">
        <is>
          <t>CÔNG TY TNHH SATO SANGYO VN</t>
        </is>
      </c>
      <c r="C62" s="2" t="inlineStr">
        <is>
          <t>Provider</t>
        </is>
      </c>
      <c r="D62" s="2" t="inlineStr">
        <is>
          <t>TEXTILE_WASTE</t>
        </is>
      </c>
      <c r="E62" s="41" t="n">
        <v>11.095313</v>
      </c>
      <c r="F62" s="41" t="n">
        <v>106.656688</v>
      </c>
      <c r="G62" s="41" t="n">
        <v>4</v>
      </c>
      <c r="H62" s="41" t="n">
        <v>0.2</v>
      </c>
      <c r="I62" s="59" t="n">
        <v>5</v>
      </c>
      <c r="J62" s="2" t="n">
        <v>32900</v>
      </c>
      <c r="K62" s="2" t="inlineStr">
        <is>
          <t>Other manufacturing n.e.c.</t>
        </is>
      </c>
      <c r="L62" s="2" t="n">
        <v>3299</v>
      </c>
      <c r="M62" s="2" t="inlineStr">
        <is>
          <t>Manufactures interior materials, medical supplies, and decorative items.</t>
        </is>
      </c>
      <c r="N62" s="2" t="inlineStr">
        <is>
          <t>- Textile and plastic scraps
- Chemical waste
- Packaging waste
- Wastewater from cleaning processes</t>
        </is>
      </c>
      <c r="O62" s="2" t="inlineStr">
        <is>
          <t>37 ĐƯỜNG 6</t>
        </is>
      </c>
      <c r="P62" s="2" t="n">
        <v>75900</v>
      </c>
      <c r="Q62" s="2" t="inlineStr">
        <is>
          <t>No</t>
        </is>
      </c>
      <c r="R62" s="2" t="inlineStr">
        <is>
          <t>Yes</t>
        </is>
      </c>
      <c r="S62" s="2" t="inlineStr">
        <is>
          <t>Finneiss DB (exact)</t>
        </is>
      </c>
      <c r="T62" s="4" t="n"/>
      <c r="U62" s="4" t="n"/>
    </row>
    <row r="63" ht="18" customHeight="1" s="43">
      <c r="A63" s="5" t="n">
        <v>2</v>
      </c>
      <c r="B63" s="5" t="inlineStr">
        <is>
          <t>CÔNG TY TNHH VIỆT NAM DONGYUN PLATE MAKING</t>
        </is>
      </c>
      <c r="C63" s="5" t="inlineStr">
        <is>
          <t>Provider</t>
        </is>
      </c>
      <c r="D63" s="5" t="inlineStr">
        <is>
          <t>NON_FERROUS_METAL</t>
        </is>
      </c>
      <c r="E63" s="42" t="n">
        <v>10.934988</v>
      </c>
      <c r="F63" s="42" t="n">
        <v>106.721672</v>
      </c>
      <c r="G63" s="42" t="n">
        <v>7.3</v>
      </c>
      <c r="H63" s="42" t="n">
        <v>0.2</v>
      </c>
      <c r="I63" s="59" t="n">
        <v>5</v>
      </c>
      <c r="J63" s="5" t="n">
        <v>18110</v>
      </c>
      <c r="K63" s="5" t="inlineStr">
        <is>
          <t>Printing</t>
        </is>
      </c>
      <c r="L63" s="5" t="n">
        <v>1811</v>
      </c>
      <c r="M63" s="5" t="inlineStr">
        <is>
          <t>Manufactures gravure printing cylinders for the printing industry.</t>
        </is>
      </c>
      <c r="N63" s="5" t="inlineStr">
        <is>
          <t>- Metal shavings and waste from cylinder production
- Chemical waste from engraving processes
- Wastewater containing inks and solvents
- Packaging waste (e.g., plastic films, boxes)</t>
        </is>
      </c>
      <c r="O63" s="5" t="inlineStr">
        <is>
          <t>1 đường 10 Vsip 1 Bình Dương</t>
        </is>
      </c>
      <c r="P63" s="5" t="n">
        <v>75209</v>
      </c>
      <c r="Q63" s="5" t="inlineStr">
        <is>
          <t>No</t>
        </is>
      </c>
      <c r="R63" s="5" t="inlineStr">
        <is>
          <t>Yes</t>
        </is>
      </c>
      <c r="S63" s="5" t="inlineStr">
        <is>
          <t>Finneiss DB (exact)</t>
        </is>
      </c>
      <c r="T63" s="7" t="n"/>
      <c r="U63" s="7" t="n"/>
    </row>
    <row r="64" ht="18" customHeight="1" s="43">
      <c r="A64" s="2" t="n">
        <v>74</v>
      </c>
      <c r="B64" s="2" t="inlineStr">
        <is>
          <t>CÔNG TY TNHH VN DONG YUN PLATE MAKING</t>
        </is>
      </c>
      <c r="C64" s="2" t="inlineStr">
        <is>
          <t>Provider</t>
        </is>
      </c>
      <c r="D64" s="2" t="inlineStr">
        <is>
          <t>NON_FERROUS_METAL</t>
        </is>
      </c>
      <c r="E64" s="41" t="n">
        <v>10.935063</v>
      </c>
      <c r="F64" s="41" t="n">
        <v>106.721812</v>
      </c>
      <c r="G64" s="41" t="n">
        <v>9.1</v>
      </c>
      <c r="H64" s="41" t="n">
        <v>0.2</v>
      </c>
      <c r="I64" s="59" t="n">
        <v>5</v>
      </c>
      <c r="J64" s="2" t="n">
        <v>18110</v>
      </c>
      <c r="K64" s="2" t="inlineStr">
        <is>
          <t>Printing</t>
        </is>
      </c>
      <c r="L64" s="2" t="n">
        <v>1811</v>
      </c>
      <c r="M64" s="2" t="inlineStr">
        <is>
          <t>Manufactures gravure printing cylinders for the printing industry.</t>
        </is>
      </c>
      <c r="N64" s="2" t="inlineStr">
        <is>
          <t>- Metal shavings and waste from cylinder production
- Chemical waste from engraving processes
- Wastewater containing inks and solvents
- Packaging waste</t>
        </is>
      </c>
      <c r="O64" s="2" t="inlineStr">
        <is>
          <t>19 Đại lộ tự do</t>
        </is>
      </c>
      <c r="P64" s="2" t="n">
        <v>75209</v>
      </c>
      <c r="Q64" s="2" t="inlineStr">
        <is>
          <t>No</t>
        </is>
      </c>
      <c r="R64" s="2" t="inlineStr">
        <is>
          <t>Yes</t>
        </is>
      </c>
      <c r="S64" s="2" t="inlineStr">
        <is>
          <t>Finneiss DB (exact)</t>
        </is>
      </c>
      <c r="T64" s="4" t="n"/>
      <c r="U64" s="4" t="n"/>
    </row>
    <row r="65" ht="18" customHeight="1" s="43">
      <c r="A65" s="5" t="n">
        <v>33</v>
      </c>
      <c r="B65" s="5" t="inlineStr">
        <is>
          <t>CÔNG TY TNHH KIAN JOO CAN (VN)</t>
        </is>
      </c>
      <c r="C65" s="5" t="inlineStr">
        <is>
          <t>Provider</t>
        </is>
      </c>
      <c r="D65" s="5" t="inlineStr">
        <is>
          <t>NON_FERROUS_METAL</t>
        </is>
      </c>
      <c r="E65" s="42" t="n">
        <v>10.927688</v>
      </c>
      <c r="F65" s="42" t="n">
        <v>106.721688</v>
      </c>
      <c r="G65" s="42" t="n">
        <v>3.1</v>
      </c>
      <c r="H65" s="42" t="n">
        <v>0.2</v>
      </c>
      <c r="I65" s="59" t="n">
        <v>5</v>
      </c>
      <c r="J65" s="5" t="n">
        <v>25920</v>
      </c>
      <c r="K65" s="5" t="inlineStr">
        <is>
          <t>Manufacture of light metal packaging</t>
        </is>
      </c>
      <c r="L65" s="5" t="n">
        <v>2592</v>
      </c>
      <c r="M65" s="5" t="inlineStr">
        <is>
          <t>Manufactures and prints tin cans for food, beverage, and paint industries.</t>
        </is>
      </c>
      <c r="N65" s="5" t="inlineStr">
        <is>
          <t>- Metal scrap
- Ink and solvent waste
- Packaging waste
- Wastewater from cleaning processes</t>
        </is>
      </c>
      <c r="O65" s="5" t="inlineStr">
        <is>
          <t>17 Đại lộ Độc lập</t>
        </is>
      </c>
      <c r="P65" s="5" t="n">
        <v>75214</v>
      </c>
      <c r="Q65" s="5" t="inlineStr">
        <is>
          <t>Yes</t>
        </is>
      </c>
      <c r="R65" s="5" t="inlineStr">
        <is>
          <t>Yes</t>
        </is>
      </c>
      <c r="S65" s="5" t="inlineStr">
        <is>
          <t>Finneiss DB (exact); VSIP1 Company Directory PDF</t>
        </is>
      </c>
      <c r="T65" s="7" t="n"/>
      <c r="U65" s="7" t="n"/>
    </row>
    <row r="66" ht="18" customHeight="1" s="43">
      <c r="A66" s="2" t="n">
        <v>73</v>
      </c>
      <c r="B66" s="2" t="inlineStr">
        <is>
          <t>CÔNG TY TNHH SOHWA SG</t>
        </is>
      </c>
      <c r="C66" s="2" t="inlineStr">
        <is>
          <t>Provider</t>
        </is>
      </c>
      <c r="D66" s="2" t="inlineStr">
        <is>
          <t>NON_FERROUS_METAL</t>
        </is>
      </c>
      <c r="E66" s="41" t="n">
        <v>10.929063</v>
      </c>
      <c r="F66" s="41" t="n">
        <v>106.719813</v>
      </c>
      <c r="G66" s="41" t="n">
        <v>2.7</v>
      </c>
      <c r="H66" s="41" t="n">
        <v>0.2</v>
      </c>
      <c r="I66" s="59" t="n">
        <v>5</v>
      </c>
      <c r="J66" s="2" t="n">
        <v>25999</v>
      </c>
      <c r="K66" s="2" t="inlineStr">
        <is>
          <t>Manufacture of other fabricated metal products n.e.c.</t>
        </is>
      </c>
      <c r="L66" s="2" t="n">
        <v>2599</v>
      </c>
      <c r="M66" s="2" t="inlineStr">
        <is>
          <t>Manufactures precision metal components and assemblies for various industries.</t>
        </is>
      </c>
      <c r="N66" s="2" t="inlineStr">
        <is>
          <t>- Metal shavings and machining waste
- Lubricant and coolant waste
- Packaging waste
- Wastewater from cleaning processes</t>
        </is>
      </c>
      <c r="O66" s="2" t="inlineStr">
        <is>
          <t>2 ĐƯỜNG 2A</t>
        </is>
      </c>
      <c r="P66" s="2" t="n">
        <v>75214</v>
      </c>
      <c r="Q66" s="2" t="inlineStr">
        <is>
          <t>No</t>
        </is>
      </c>
      <c r="R66" s="2" t="inlineStr">
        <is>
          <t>Yes</t>
        </is>
      </c>
      <c r="S66" s="2" t="inlineStr">
        <is>
          <t>Finneiss DB (exact)</t>
        </is>
      </c>
      <c r="T66" s="4" t="n"/>
      <c r="U66" s="4" t="n"/>
    </row>
    <row r="67" ht="18" customHeight="1" s="43">
      <c r="A67" s="5" t="n">
        <v>59</v>
      </c>
      <c r="B67" s="5" t="inlineStr">
        <is>
          <t>CÔNG TY TNHH HHH VN</t>
        </is>
      </c>
      <c r="C67" s="5" t="inlineStr">
        <is>
          <t>Provider</t>
        </is>
      </c>
      <c r="D67" s="5" t="inlineStr">
        <is>
          <t>NON_FERROUS_METAL</t>
        </is>
      </c>
      <c r="E67" s="42" t="n">
        <v>10.932688</v>
      </c>
      <c r="F67" s="42" t="n">
        <v>106.731313</v>
      </c>
      <c r="G67" s="42" t="n">
        <v>2.4</v>
      </c>
      <c r="H67" s="42" t="n">
        <v>0.2</v>
      </c>
      <c r="I67" s="59" t="n">
        <v>5</v>
      </c>
      <c r="J67" s="5" t="n">
        <v>25999</v>
      </c>
      <c r="K67" s="5" t="inlineStr">
        <is>
          <t>Manufacture of other fabricated metal products n.e.c.</t>
        </is>
      </c>
      <c r="L67" s="5" t="n">
        <v>2599</v>
      </c>
      <c r="M67" s="5" t="inlineStr">
        <is>
          <t>Produces various metal products and components for industrial applications.</t>
        </is>
      </c>
      <c r="N67" s="5" t="inlineStr">
        <is>
          <t>- Metal shavings
- Lubricant and coolant waste
- Packaging waste
- Wastewater from cleaning processes</t>
        </is>
      </c>
      <c r="O67" s="5" t="inlineStr">
        <is>
          <t>10 ĐƯỜNG 10</t>
        </is>
      </c>
      <c r="P67" s="5" t="n">
        <v>75209</v>
      </c>
      <c r="Q67" s="5" t="inlineStr">
        <is>
          <t>No</t>
        </is>
      </c>
      <c r="R67" s="5" t="inlineStr">
        <is>
          <t>Yes</t>
        </is>
      </c>
      <c r="S67" s="5" t="inlineStr">
        <is>
          <t>Finneiss DB (exact)</t>
        </is>
      </c>
      <c r="T67" s="7" t="n"/>
      <c r="U67" s="7" t="n"/>
    </row>
    <row r="68" ht="18" customHeight="1" s="43">
      <c r="A68" s="3" t="n">
        <v>1</v>
      </c>
      <c r="B68" s="3" t="inlineStr">
        <is>
          <t>Receiver_Plastic</t>
        </is>
      </c>
      <c r="C68" s="3" t="inlineStr">
        <is>
          <t>Receiver</t>
        </is>
      </c>
      <c r="D68" s="3" t="inlineStr">
        <is>
          <t>PLASTIC_SCRAP</t>
        </is>
      </c>
      <c r="E68" s="3" t="n">
        <v>10.935</v>
      </c>
      <c r="F68" s="3" t="n">
        <v>106.725</v>
      </c>
      <c r="G68" s="3" t="n">
        <v>30</v>
      </c>
      <c r="H68" s="3" t="n">
        <v>0.2</v>
      </c>
      <c r="J68" s="3" t="n"/>
      <c r="K68" s="3" t="n"/>
      <c r="L68" s="3" t="n"/>
      <c r="M68" s="3" t="n"/>
      <c r="N68" s="3" t="n"/>
      <c r="O68" s="3" t="n"/>
      <c r="P68" s="3" t="n"/>
      <c r="Q68" s="3" t="inlineStr">
        <is>
          <t>No</t>
        </is>
      </c>
      <c r="R68" s="3" t="inlineStr">
        <is>
          <t>No</t>
        </is>
      </c>
      <c r="S68" s="3" t="inlineStr">
        <is>
          <t>Model assumption (hypothetical demand node)</t>
        </is>
      </c>
      <c r="T68" s="4" t="n"/>
      <c r="U68" s="4" t="n"/>
    </row>
    <row r="69" ht="18" customHeight="1" s="43">
      <c r="A69" s="6" t="n">
        <v>2</v>
      </c>
      <c r="B69" s="6" t="inlineStr">
        <is>
          <t>Receiver_Paper</t>
        </is>
      </c>
      <c r="C69" s="6" t="inlineStr">
        <is>
          <t>Receiver</t>
        </is>
      </c>
      <c r="D69" s="6" t="inlineStr">
        <is>
          <t>PAPER_WASTE</t>
        </is>
      </c>
      <c r="E69" s="6" t="n">
        <v>10.932</v>
      </c>
      <c r="F69" s="6" t="n">
        <v>106.73</v>
      </c>
      <c r="G69" s="6" t="n">
        <v>15</v>
      </c>
      <c r="H69" s="6" t="n">
        <v>0.2</v>
      </c>
      <c r="J69" s="6" t="n"/>
      <c r="K69" s="6" t="n"/>
      <c r="L69" s="6" t="n"/>
      <c r="M69" s="6" t="n"/>
      <c r="N69" s="6" t="n"/>
      <c r="O69" s="6" t="n"/>
      <c r="P69" s="6" t="n"/>
      <c r="Q69" s="6" t="inlineStr">
        <is>
          <t>No</t>
        </is>
      </c>
      <c r="R69" s="6" t="inlineStr">
        <is>
          <t>No</t>
        </is>
      </c>
      <c r="S69" s="6" t="inlineStr">
        <is>
          <t>Model assumption (hypothetical demand node)</t>
        </is>
      </c>
      <c r="T69" s="7" t="n"/>
      <c r="U69" s="7" t="n"/>
    </row>
    <row r="70" ht="18" customHeight="1" s="43">
      <c r="A70" s="3" t="n">
        <v>3</v>
      </c>
      <c r="B70" s="3" t="inlineStr">
        <is>
          <t>Receiver_Ferrous</t>
        </is>
      </c>
      <c r="C70" s="3" t="inlineStr">
        <is>
          <t>Receiver</t>
        </is>
      </c>
      <c r="D70" s="3" t="inlineStr">
        <is>
          <t>FERROUS_METAL</t>
        </is>
      </c>
      <c r="E70" s="3" t="n">
        <v>10.928</v>
      </c>
      <c r="F70" s="3" t="n">
        <v>106.718</v>
      </c>
      <c r="G70" s="3" t="n">
        <v>12</v>
      </c>
      <c r="H70" s="3" t="n">
        <v>0.2</v>
      </c>
      <c r="J70" s="3" t="n"/>
      <c r="K70" s="3" t="n"/>
      <c r="L70" s="3" t="n"/>
      <c r="M70" s="3" t="n"/>
      <c r="N70" s="3" t="n"/>
      <c r="O70" s="3" t="n"/>
      <c r="P70" s="3" t="n"/>
      <c r="Q70" s="3" t="inlineStr">
        <is>
          <t>No</t>
        </is>
      </c>
      <c r="R70" s="3" t="inlineStr">
        <is>
          <t>No</t>
        </is>
      </c>
      <c r="S70" s="3" t="inlineStr">
        <is>
          <t>Model assumption (hypothetical demand node)</t>
        </is>
      </c>
      <c r="T70" s="4" t="n"/>
      <c r="U70" s="4" t="n"/>
    </row>
    <row r="71" ht="18" customHeight="1" s="43">
      <c r="A71" s="6" t="n">
        <v>4</v>
      </c>
      <c r="B71" s="6" t="inlineStr">
        <is>
          <t>Receiver_Textile</t>
        </is>
      </c>
      <c r="C71" s="6" t="inlineStr">
        <is>
          <t>Receiver</t>
        </is>
      </c>
      <c r="D71" s="6" t="inlineStr">
        <is>
          <t>TEXTILE_WASTE</t>
        </is>
      </c>
      <c r="E71" s="6" t="n">
        <v>10.933</v>
      </c>
      <c r="F71" s="6" t="n">
        <v>106.735</v>
      </c>
      <c r="G71" s="6" t="n">
        <v>10</v>
      </c>
      <c r="H71" s="6" t="n">
        <v>0.2</v>
      </c>
      <c r="J71" s="6" t="n"/>
      <c r="K71" s="6" t="n"/>
      <c r="L71" s="6" t="n"/>
      <c r="M71" s="6" t="n"/>
      <c r="N71" s="6" t="n"/>
      <c r="O71" s="6" t="n"/>
      <c r="P71" s="6" t="n"/>
      <c r="Q71" s="6" t="inlineStr">
        <is>
          <t>No</t>
        </is>
      </c>
      <c r="R71" s="6" t="inlineStr">
        <is>
          <t>No</t>
        </is>
      </c>
      <c r="S71" s="6" t="inlineStr">
        <is>
          <t>Model assumption (hypothetical demand node)</t>
        </is>
      </c>
      <c r="T71" s="7" t="n"/>
      <c r="U71" s="7" t="n"/>
    </row>
    <row r="72" ht="18" customHeight="1" s="43">
      <c r="A72" s="3" t="n">
        <v>5</v>
      </c>
      <c r="B72" s="3" t="inlineStr">
        <is>
          <t>Receiver_NonFerrous</t>
        </is>
      </c>
      <c r="C72" s="3" t="inlineStr">
        <is>
          <t>Receiver</t>
        </is>
      </c>
      <c r="D72" s="3" t="inlineStr">
        <is>
          <t>NON_FERROUS_METAL</t>
        </is>
      </c>
      <c r="E72" s="3" t="n">
        <v>10.936</v>
      </c>
      <c r="F72" s="3" t="n">
        <v>106.722</v>
      </c>
      <c r="G72" s="3" t="n">
        <v>8</v>
      </c>
      <c r="H72" s="3" t="n">
        <v>0.2</v>
      </c>
      <c r="J72" s="3" t="n"/>
      <c r="K72" s="3" t="n"/>
      <c r="L72" s="3" t="n"/>
      <c r="M72" s="3" t="n"/>
      <c r="N72" s="3" t="n"/>
      <c r="O72" s="3" t="n"/>
      <c r="P72" s="3" t="n"/>
      <c r="Q72" s="3" t="inlineStr">
        <is>
          <t>No</t>
        </is>
      </c>
      <c r="R72" s="3" t="inlineStr">
        <is>
          <t>No</t>
        </is>
      </c>
      <c r="S72" s="3" t="inlineStr">
        <is>
          <t>Model assumption (hypothetical demand node)</t>
        </is>
      </c>
      <c r="T72" s="4" t="n"/>
      <c r="U72" s="4" t="n"/>
    </row>
    <row r="73" ht="18" customHeight="1" s="43">
      <c r="A73" s="6" t="n"/>
      <c r="B73" s="6" t="inlineStr">
        <is>
          <t>VSIP1 Recycling Intermediate</t>
        </is>
      </c>
      <c r="C73" s="6" t="inlineStr">
        <is>
          <t>Intermediate</t>
        </is>
      </c>
      <c r="D73" s="6" t="inlineStr">
        <is>
          <t>ALL</t>
        </is>
      </c>
      <c r="E73" s="40" t="n">
        <v>10.93</v>
      </c>
      <c r="F73" s="40" t="n">
        <v>106.72</v>
      </c>
      <c r="G73" s="6" t="n"/>
      <c r="H73" s="6" t="n">
        <v>0.2</v>
      </c>
      <c r="J73" s="6" t="n"/>
      <c r="K73" s="6" t="n"/>
      <c r="L73" s="6" t="n"/>
      <c r="M73" s="6" t="inlineStr">
        <is>
          <t>Central recycling hub</t>
        </is>
      </c>
      <c r="N73" s="6" t="n"/>
      <c r="O73" s="6" t="n"/>
      <c r="P73" s="6" t="n"/>
      <c r="Q73" s="6" t="inlineStr">
        <is>
          <t>No</t>
        </is>
      </c>
      <c r="R73" s="6" t="inlineStr">
        <is>
          <t>No</t>
        </is>
      </c>
      <c r="S73" s="6" t="inlineStr">
        <is>
          <t>Model assumption (central hub location)</t>
        </is>
      </c>
      <c r="T73" s="7" t="n"/>
      <c r="U73" s="7" t="n"/>
    </row>
    <row r="74" ht="18" customHeight="1" s="43">
      <c r="A74" s="2" t="n"/>
      <c r="B74" s="2" t="inlineStr">
        <is>
          <t>Da Phuoc Landfill</t>
        </is>
      </c>
      <c r="C74" s="2" t="inlineStr">
        <is>
          <t>EndOfLife</t>
        </is>
      </c>
      <c r="D74" s="2" t="inlineStr">
        <is>
          <t>ALL</t>
        </is>
      </c>
      <c r="E74" s="2" t="n">
        <v>10.665415</v>
      </c>
      <c r="F74" s="2" t="n">
        <v>106.665886</v>
      </c>
      <c r="G74" s="2" t="n"/>
      <c r="H74" s="2" t="n">
        <v>0.2</v>
      </c>
      <c r="J74" s="2" t="n"/>
      <c r="K74" s="2" t="n"/>
      <c r="L74" s="2" t="n"/>
      <c r="M74" s="2" t="inlineStr">
        <is>
          <t>[SUPERSEDED — not used in CE 3.0 model] Municipal solid waste landfill. Replaced by BIWASE ETS (row 90) as the industrial waste EndOfLife agent. Da Phuoc is a municipal landfill (HCM City) and is not appropriate for industrial IS network modelling in Binh Duong.</t>
        </is>
      </c>
      <c r="N74" s="2" t="n"/>
      <c r="O74" s="2" t="inlineStr">
        <is>
          <t>Phước Hiệp, Bình Chánh, HCMC</t>
        </is>
      </c>
      <c r="P74" s="2" t="n"/>
      <c r="Q74" s="2" t="inlineStr">
        <is>
          <t>No</t>
        </is>
      </c>
      <c r="R74" s="2" t="inlineStr">
        <is>
          <t>Yes</t>
        </is>
      </c>
      <c r="S74" s="2" t="inlineStr">
        <is>
          <t>Finneiss DB (Landfills_Location); https://www.researchgate.net/publication/356037309_Research_on_appropriate_technology_solutions_for_the_treatment_of_leachate_in_Phuoc_Hiep_landfill_in_Ho_Chi_Minh_City | NOTE: Row superseded by BIWASE ETS (row 90) in CE 3.0. Da Phuoc is municipal, not industrial. See: Materials marketplace final report PDF.</t>
        </is>
      </c>
      <c r="T74" s="2" t="n">
        <v>20</v>
      </c>
      <c r="U74" s="2" t="inlineStr">
        <is>
          <t>SGD/t</t>
        </is>
      </c>
    </row>
    <row r="75" ht="18" customHeight="1" s="43">
      <c r="A75" s="7" t="n"/>
      <c r="B75" s="7" t="inlineStr">
        <is>
          <t xml:space="preserve">BIWASE ETS Waste Treatment Complex </t>
        </is>
      </c>
      <c r="C75" s="5" t="inlineStr">
        <is>
          <t>EndOfLife</t>
        </is>
      </c>
      <c r="D75" s="5" t="inlineStr">
        <is>
          <t>ALL</t>
        </is>
      </c>
      <c r="E75" s="5" t="n">
        <v>11.085</v>
      </c>
      <c r="F75" s="8" t="n">
        <v>106.59</v>
      </c>
      <c r="G75" s="7" t="n"/>
      <c r="H75" s="7" t="n">
        <v>0.2</v>
      </c>
      <c r="J75" s="7" t="n"/>
      <c r="K75" s="7" t="n"/>
      <c r="L75" s="7" t="n"/>
      <c r="M75" s="7" t="inlineStr">
        <is>
          <t>Industrial and hazardous waste treatment complex. Handles mixed industrial, chemical, and solid waste from Binh Duong province. Operations include sanitary landfilling, composting, and waste-to-energy (WtE) incineration. Designated industrial EndOfLife agent for CE 3.0 model at VSIP1.</t>
        </is>
      </c>
      <c r="N75" s="7" t="n"/>
      <c r="O75" s="9" t="inlineStr">
        <is>
          <t>No. 39, Group 8, Quarter 1B, Chanh Phu Hoa Ward, Ben Cat City, Binh Duong Province, Vietnam</t>
        </is>
      </c>
      <c r="P75" s="7" t="n"/>
      <c r="Q75" s="7" t="inlineStr">
        <is>
          <t>No</t>
        </is>
      </c>
      <c r="R75" s="7" t="inlineStr">
        <is>
          <t>No</t>
        </is>
      </c>
      <c r="S75" s="7" t="inlineStr">
        <is>
          <t>Materials marketplace final report PDF. Location confirmed: No. 39, Group 8, Quarter 1B, Chanh Phu Hoa Ward, Ben Cat City, Binh Duong Province, Vietnam. Designated industrial/hazardous waste treatment facility for Binh Duong province; replaces Da Phuoc (municipal landfill) as EndOfLife agent in CE 3.0 model.</t>
        </is>
      </c>
      <c r="T75" s="7" t="n"/>
      <c r="U75" s="7" t="n"/>
    </row>
    <row r="76" ht="18" customHeight="1" s="43"/>
    <row r="77" ht="18" customHeight="1" s="43"/>
    <row r="78" ht="18" customHeight="1" s="43"/>
    <row r="79" ht="18" customHeight="1" s="43"/>
    <row r="80" ht="18" customHeight="1" s="43"/>
    <row r="81" ht="18" customHeight="1" s="43"/>
    <row r="82" ht="18" customHeight="1" s="43"/>
    <row r="83" ht="18" customHeight="1" s="43"/>
    <row r="84" ht="18" customHeight="1" s="43"/>
    <row r="85" ht="18" customHeight="1" s="43"/>
    <row r="86" ht="18" customHeight="1" s="43"/>
    <row r="87" ht="18" customHeight="1" s="43"/>
    <row r="88" ht="25" customHeight="1" s="43"/>
    <row r="89" ht="18" customHeight="1" s="43"/>
    <row r="90" ht="18" customHeight="1" s="43"/>
    <row r="91" ht="18" customHeight="1" s="43"/>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V7"/>
  <sheetViews>
    <sheetView zoomScale="110" zoomScaleNormal="110" workbookViewId="0">
      <pane ySplit="2" topLeftCell="A3" activePane="bottomLeft" state="frozen"/>
      <selection pane="bottomLeft" activeCell="A1" sqref="A1:V1"/>
    </sheetView>
  </sheetViews>
  <sheetFormatPr baseColWidth="10" defaultColWidth="8.7265625" defaultRowHeight="14.25" customHeight="1"/>
  <cols>
    <col width="20" customWidth="1" style="43" min="1" max="1"/>
    <col width="18" customWidth="1" style="43" min="2" max="2"/>
    <col width="14.26953125" bestFit="1" customWidth="1" style="43" min="3" max="3"/>
    <col width="13.08984375" bestFit="1" customWidth="1" style="43" min="4" max="4"/>
    <col width="11.90625" bestFit="1" customWidth="1" style="43" min="5" max="5"/>
    <col width="12" customWidth="1" style="43" min="6" max="8"/>
    <col width="13.26953125" bestFit="1" customWidth="1" style="43" min="9" max="9"/>
    <col width="12" customWidth="1" style="43" min="10" max="14"/>
    <col width="21.08984375" bestFit="1" customWidth="1" style="43" min="15" max="15"/>
    <col width="25" bestFit="1" customWidth="1" style="43" min="16" max="17"/>
    <col width="19.6328125" bestFit="1" customWidth="1" style="43" min="18" max="19"/>
    <col width="93.08984375" bestFit="1" customWidth="1" style="43" min="20" max="20"/>
    <col width="50" customWidth="1" style="43" min="21" max="21"/>
    <col width="62" customWidth="1" style="43" min="22" max="22"/>
    <col width="22" customWidth="1" style="43" min="23" max="23"/>
  </cols>
  <sheetData>
    <row r="1" ht="42" customHeight="1" s="43">
      <c r="A1"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row>
    <row r="2" ht="21.75" customFormat="1" customHeight="1" s="10">
      <c r="A2" t="inlineStr">
        <is>
          <t>Material</t>
        </is>
      </c>
      <c r="B2" t="inlineStr">
        <is>
          <t>conversionEffPerMat</t>
        </is>
      </c>
      <c r="C2" t="inlineStr">
        <is>
          <t>GWPVirginPerKg</t>
        </is>
      </c>
      <c r="D2" t="inlineStr">
        <is>
          <t>GWPWasteToRecycling</t>
        </is>
      </c>
      <c r="E2" t="inlineStr">
        <is>
          <t>GWPWasteToLandfill</t>
        </is>
      </c>
      <c r="F2" t="inlineStr">
        <is>
          <t>HTPVirginPerKg</t>
        </is>
      </c>
      <c r="G2" t="inlineStr">
        <is>
          <t>HTPWasteToRecycling</t>
        </is>
      </c>
      <c r="H2" t="inlineStr">
        <is>
          <t>HTPWasteToLandfill</t>
        </is>
      </c>
      <c r="I2" t="inlineStr">
        <is>
          <t>LUPVirginPerKg</t>
        </is>
      </c>
      <c r="J2" t="inlineStr">
        <is>
          <t>LUPWasteToRecycling</t>
        </is>
      </c>
      <c r="K2" t="inlineStr">
        <is>
          <t>LUPWasteToLandfill</t>
        </is>
      </c>
      <c r="L2" t="inlineStr">
        <is>
          <t>CEDVirginPerKg</t>
        </is>
      </c>
      <c r="M2" t="inlineStr">
        <is>
          <t>CEDWasteToRecycling</t>
        </is>
      </c>
      <c r="N2" t="inlineStr">
        <is>
          <t>CEDWasteToLandfill</t>
        </is>
      </c>
      <c r="O2" t="inlineStr">
        <is>
          <t>priceVirginPerMat [SDG]</t>
        </is>
      </c>
      <c r="P2" t="inlineStr">
        <is>
          <t>priceSecondaryPerMat [SGD]</t>
        </is>
      </c>
      <c r="Q2" t="inlineStr">
        <is>
          <t>costLandfillPerMat [SGD]</t>
        </is>
      </c>
      <c r="R2" t="inlineStr">
        <is>
          <t>PriceSecondary_USD_t</t>
        </is>
      </c>
      <c r="S2" t="inlineStr">
        <is>
          <t>PriceSecondary_SGD_t</t>
        </is>
      </c>
      <c r="T2" t="inlineStr">
        <is>
          <t>PriceSecondary_Source</t>
        </is>
      </c>
      <c r="U2" t="inlineStr">
        <is>
          <t>Source / Rationale</t>
        </is>
      </c>
      <c r="V2" t="inlineStr">
        <is>
          <t>PricePaidToProvider_SGD_t</t>
        </is>
      </c>
    </row>
    <row r="3" ht="30" customHeight="1" s="43">
      <c r="A3" t="inlineStr">
        <is>
          <t>PLASTIC_SCRAP</t>
        </is>
      </c>
      <c r="B3" s="37" t="n">
        <v>0.605</v>
      </c>
      <c r="C3" s="37" t="n">
        <v>2.952</v>
      </c>
      <c r="D3" s="37" t="n">
        <v>0.709</v>
      </c>
      <c r="E3" s="37" t="n">
        <v>0.137</v>
      </c>
      <c r="F3" s="37" t="n">
        <v>0.305</v>
      </c>
      <c r="G3" s="37" t="n">
        <v>0.13</v>
      </c>
      <c r="H3" s="37" t="n">
        <v>0.006</v>
      </c>
      <c r="I3" s="37" t="n">
        <v>0.0307</v>
      </c>
      <c r="J3" s="37" t="n">
        <v>0.019</v>
      </c>
      <c r="K3" s="37" t="n">
        <v>0.00289</v>
      </c>
      <c r="L3" s="37" t="n">
        <v>78.3</v>
      </c>
      <c r="M3" s="37" t="n">
        <v>16</v>
      </c>
      <c r="N3" s="37" t="n">
        <v>0.5</v>
      </c>
      <c r="O3" s="37" t="n">
        <v>1345</v>
      </c>
      <c r="P3" s="37" t="n">
        <v>105</v>
      </c>
      <c r="Q3" s="37" t="n">
        <v>20</v>
      </c>
      <c r="R3" t="n">
        <v>750</v>
      </c>
      <c r="S3">
        <f>R3*1.35</f>
        <v/>
      </c>
      <c r="T3" t="inlineStr">
        <is>
          <t>Fastmarkets / S&amp;P Global Platts (2024): China/SE Asia R-HDPE USD 655–967/MT; proxy USD 750/t</t>
        </is>
      </c>
      <c r="U3" t="inlineStr">
        <is>
          <t>ConversionEff 60.5%: accounts for sorting rejects (~15%) and fines/contamination (~25%); proxy from ecoinvent 3.10 'market for waste plastic, sorted' + WRAP (2017). GWP/HTP/LUP/CED: ReCiPe 2016 v1.03 midpoint (H), ecoinvent 3.10; see emissionFactors sheet for full dataset. PriceVirgin 1,345 SGD/t: SE Asia HDPE market proxy (2024). RecyclingPlantCost 500k SGD: rough CAPEX for plastic sorting/washing line. PriceSecondary: see SecondaryMaterialPrices sheet. ILLUSTRATIVE.</t>
        </is>
      </c>
      <c r="V3" s="37" t="n">
        <v>-20</v>
      </c>
    </row>
    <row r="4" ht="30" customHeight="1" s="43">
      <c r="A4" t="inlineStr">
        <is>
          <t>PAPER_WASTE</t>
        </is>
      </c>
      <c r="B4" s="37" t="n">
        <v>0.825</v>
      </c>
      <c r="C4" s="37" t="n">
        <v>1.051</v>
      </c>
      <c r="D4" s="37" t="n">
        <v>1.143</v>
      </c>
      <c r="E4" s="37" t="n">
        <v>1.28</v>
      </c>
      <c r="F4" s="37" t="n">
        <v>0.971</v>
      </c>
      <c r="G4" s="37" t="n">
        <v>0.469</v>
      </c>
      <c r="H4" s="37" t="n">
        <v>0.038</v>
      </c>
      <c r="I4" s="37" t="n">
        <v>1.365</v>
      </c>
      <c r="J4" s="37" t="n">
        <v>0.283</v>
      </c>
      <c r="K4" s="37" t="n">
        <v>0.00298</v>
      </c>
      <c r="L4" s="37" t="n">
        <v>55</v>
      </c>
      <c r="M4" s="37" t="n">
        <v>12</v>
      </c>
      <c r="N4" s="37" t="n">
        <v>1.2</v>
      </c>
      <c r="O4" s="37" t="n">
        <v>950</v>
      </c>
      <c r="P4" s="37" t="n">
        <v>250</v>
      </c>
      <c r="Q4" s="37" t="n">
        <v>20</v>
      </c>
      <c r="R4" t="n">
        <v>215</v>
      </c>
      <c r="S4">
        <f>R4*1.35</f>
        <v/>
      </c>
      <c r="T4" t="inlineStr">
        <is>
          <t>Fastmarkets (2024): OCC/recycled board to SE Asia mills USD 210–225/MT; USD 215/t adopted</t>
        </is>
      </c>
      <c r="U4" t="inlineStr">
        <is>
          <t>ConversionEff 82.5%: typical OCC (Old Corrugated Cardboard) pulping recovery. Source: ecoinvent 3.10 'market for waste paper, sorted'. GWP_Recycled &gt; GWP_Virgin for paper is literature-known (energy-intensive wet pulping). PriceVirgin 950 SGD/t: virgin pulp SE Asia proxy (2024). RecyclingPlantCost 200k SGD: baling/sorting only. ILLUSTRATIVE.</t>
        </is>
      </c>
      <c r="V4" s="37" t="n">
        <v>-20</v>
      </c>
    </row>
    <row r="5" ht="30" customHeight="1" s="43">
      <c r="A5" t="inlineStr">
        <is>
          <t>FERROUS_METAL</t>
        </is>
      </c>
      <c r="B5" s="37" t="n">
        <v>0.77</v>
      </c>
      <c r="C5" s="37" t="n">
        <v>2.231</v>
      </c>
      <c r="D5" s="37" t="n">
        <v>0.063</v>
      </c>
      <c r="E5" s="37" t="n">
        <v>0.064</v>
      </c>
      <c r="F5" s="37" t="n">
        <v>0.29</v>
      </c>
      <c r="G5" s="37" t="n">
        <v>0.001</v>
      </c>
      <c r="H5" s="37" t="n">
        <v>0.0005</v>
      </c>
      <c r="I5" s="37" t="n">
        <v>0.0381</v>
      </c>
      <c r="J5" s="37" t="n">
        <v>0.000176</v>
      </c>
      <c r="K5" s="37" t="n">
        <v>0.00084</v>
      </c>
      <c r="L5" s="37" t="n">
        <v>20</v>
      </c>
      <c r="M5" s="37" t="n">
        <v>5</v>
      </c>
      <c r="N5" s="37" t="n">
        <v>0.2</v>
      </c>
      <c r="O5" s="37" t="n">
        <v>700</v>
      </c>
      <c r="P5" s="37" t="n">
        <v>450</v>
      </c>
      <c r="Q5" s="37" t="n">
        <v>20</v>
      </c>
      <c r="R5" t="n">
        <v>355</v>
      </c>
      <c r="S5">
        <f>R5*1.35</f>
        <v/>
      </c>
      <c r="T5" t="inlineStr">
        <is>
          <t>S&amp;P Global Commodity Insights (Nov 2024): Vietnam domestic scrap / HMS 1&amp;2 CFR USD 343–367/MT</t>
        </is>
      </c>
      <c r="U5" t="inlineStr">
        <is>
          <t>ConversionEff 77%: mixed ferrous scrap smelting in EAF, accounting for oxidation losses (~15%) and sorting rejects (~8%). GWP values: ecoinvent 3.10 steel recycling vs. virgin BF/BOF route. PriceVirgin 700 SGD/t: SE Asia HRC proxy. PriceSecondary negative pricePaidToProvider (Intermediate pays Provider 20 SGD/t — high-value). RecyclingPlantCost 650k SGD: scrap shredder/sorting line. ILLUSTRATIVE.</t>
        </is>
      </c>
      <c r="V5" s="37" t="n">
        <v>20</v>
      </c>
    </row>
    <row r="6" ht="30" customHeight="1" s="43">
      <c r="A6" t="inlineStr">
        <is>
          <t>TEXTILE_WASTE</t>
        </is>
      </c>
      <c r="B6" s="37" t="n">
        <v>0.55</v>
      </c>
      <c r="C6" s="37" t="n">
        <v>0.64</v>
      </c>
      <c r="D6" s="37" t="n">
        <v>0.381</v>
      </c>
      <c r="E6" s="37" t="n">
        <v>1.239</v>
      </c>
      <c r="F6" s="37" t="n">
        <v>0.523</v>
      </c>
      <c r="G6" s="37" t="n">
        <v>0.105</v>
      </c>
      <c r="H6" s="37" t="n">
        <v>0.001</v>
      </c>
      <c r="I6" s="37" t="n">
        <v>13.862</v>
      </c>
      <c r="J6" s="37" t="n">
        <v>0.012</v>
      </c>
      <c r="K6" s="37" t="n">
        <v>0.00164</v>
      </c>
      <c r="L6" s="37" t="n">
        <v>55</v>
      </c>
      <c r="M6" s="37" t="n">
        <v>12</v>
      </c>
      <c r="N6" s="37" t="n">
        <v>1.2</v>
      </c>
      <c r="O6" s="37" t="n">
        <v>2350</v>
      </c>
      <c r="P6" s="37" t="n">
        <v>4700</v>
      </c>
      <c r="Q6" s="37" t="n">
        <v>20</v>
      </c>
      <c r="R6" t="n">
        <v>200</v>
      </c>
      <c r="S6">
        <f>R6*1.35</f>
        <v/>
      </c>
      <c r="T6" t="inlineStr">
        <is>
          <t>IMARC Group (2024) Vietnam Textile Recycling Market; literature estimate USD 150–250/t; USD 200/t adopted</t>
        </is>
      </c>
      <c r="U6" t="inlineStr">
        <is>
          <t>ConversionEff 55%: mixed synthetic/natural textiles; lower than paper/metal due to blended fibers requiring mechanical shredding with high reject rate. Proxy from WRAP (2017) 'Valuing Our Clothes' textile recycling data. GWP_Landfill high (1.239) due to CH4 from anaerobic textile decomposition. PriceVirgin 2,350 SGD/t: synthetic fabric proxy. ILLUSTRATIVE.</t>
        </is>
      </c>
      <c r="V6" s="37" t="n">
        <v>-20</v>
      </c>
    </row>
    <row r="7" ht="30" customHeight="1" s="43">
      <c r="A7" t="inlineStr">
        <is>
          <t>NON_FERROUS_METAL</t>
        </is>
      </c>
      <c r="B7" s="37" t="n">
        <v>0.66</v>
      </c>
      <c r="C7" s="37" t="n">
        <v>20.927</v>
      </c>
      <c r="D7" s="37" t="n">
        <v>0.893</v>
      </c>
      <c r="E7" s="37" t="n">
        <v>0.017</v>
      </c>
      <c r="F7" s="37" t="n">
        <v>1.368</v>
      </c>
      <c r="G7" s="37" t="n">
        <v>0.951</v>
      </c>
      <c r="H7" s="37" t="n">
        <v>0.017</v>
      </c>
      <c r="I7" s="37" t="n">
        <v>0.19</v>
      </c>
      <c r="J7" s="37" t="n">
        <v>0.036</v>
      </c>
      <c r="K7" s="37" t="n">
        <v>0.00308</v>
      </c>
      <c r="L7" s="37" t="n">
        <v>200</v>
      </c>
      <c r="M7" s="37" t="n">
        <v>50</v>
      </c>
      <c r="N7" s="37" t="n">
        <v>0.5</v>
      </c>
      <c r="O7" s="37" t="n">
        <v>3200</v>
      </c>
      <c r="P7" s="37" t="n">
        <v>2500</v>
      </c>
      <c r="Q7" s="37" t="n">
        <v>20</v>
      </c>
      <c r="R7" t="n">
        <v>1750</v>
      </c>
      <c r="S7">
        <f>R7*1.35</f>
        <v/>
      </c>
      <c r="T7" t="inlineStr">
        <is>
          <t>Fastmarkets (Mar 2025): SE Asia Al scrap Borings&amp;Turnings USD 1,720–1,820/MT CIF; mid USD 1,750/t</t>
        </is>
      </c>
      <c r="U7" t="inlineStr">
        <is>
          <t>ConversionEff 66%: mixed Al/Cu/Zn non-ferrous scrap; accounts for sorting/smelting losses. GWP_Virgin 20.9 kg CO2/kg: aluminium primary smelting is extremely energy intensive (electrolysis). GWP_Recycled 0.893: secondary Al smelting (95% energy saving vs. primary). PriceVirgin 3,200 SGD/t: LME aluminium SE Asia proxy (2024). RecyclingPlantCost 450k SGD: Al/Cu sorting + smelting stub. ILLUSTRATIVE.</t>
        </is>
      </c>
      <c r="V7" s="37" t="n">
        <v>20</v>
      </c>
    </row>
  </sheetData>
  <mergeCells count="1">
    <mergeCell ref="A1:V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C9" sqref="C9"/>
    </sheetView>
  </sheetViews>
  <sheetFormatPr baseColWidth="10" defaultColWidth="8.7265625" defaultRowHeight="14.5"/>
  <cols>
    <col width="18" customWidth="1" style="43" min="1" max="1"/>
    <col width="28" customWidth="1" style="43" min="2" max="2"/>
    <col width="12" customWidth="1" style="43" min="3" max="3"/>
    <col width="14" customWidth="1" style="43" min="4" max="4"/>
    <col width="26" customWidth="1" style="43" min="5" max="5"/>
    <col width="14" customWidth="1" style="43" min="6" max="6"/>
    <col width="55" customWidth="1" style="43" min="7" max="7"/>
    <col width="30" customWidth="1" style="43" min="8" max="8"/>
  </cols>
  <sheetData>
    <row r="1" ht="40" customHeight="1" s="43">
      <c r="A1" s="47" t="inlineStr">
        <is>
          <t>⚠  DISCLAIMER — ILLUSTRATIVE VALUES ONLY: Recycling and production efficiencies are modelled estimates, not validated against VSIP1 facility data. Black font = literature/ecoinvent source; Blue font = model assumption.</t>
        </is>
      </c>
      <c r="B1" s="45" t="n"/>
      <c r="C1" s="45" t="n"/>
      <c r="D1" s="45" t="n"/>
      <c r="E1" s="45" t="n"/>
      <c r="F1" s="45" t="n"/>
      <c r="G1" s="45" t="n"/>
      <c r="H1" s="46" t="n"/>
    </row>
    <row r="2" ht="20" customHeight="1" s="43">
      <c r="A2" s="44" t="inlineStr">
        <is>
          <t>Recycling and production efficiencies by material — CE 3.0 model parameters</t>
        </is>
      </c>
      <c r="B2" s="45" t="n"/>
      <c r="C2" s="45" t="n"/>
      <c r="D2" s="45" t="n"/>
      <c r="E2" s="45" t="n"/>
      <c r="F2" s="45" t="n"/>
      <c r="G2" s="45" t="n"/>
      <c r="H2" s="46" t="n"/>
    </row>
    <row r="3">
      <c r="A3" s="33" t="inlineStr">
        <is>
          <t>NEA Waste Type</t>
        </is>
      </c>
      <c r="B3" s="33" t="inlineStr">
        <is>
          <t>Parameter</t>
        </is>
      </c>
      <c r="C3" s="33" t="inlineStr">
        <is>
          <t>Value</t>
        </is>
      </c>
      <c r="D3" s="33" t="inlineStr">
        <is>
          <t>Unit</t>
        </is>
      </c>
      <c r="E3" s="33" t="inlineStr">
        <is>
          <t>AnyLogic Variable</t>
        </is>
      </c>
      <c r="F3" s="33" t="inlineStr">
        <is>
          <t>Agent</t>
        </is>
      </c>
      <c r="G3" s="33" t="inlineStr">
        <is>
          <t>Source / Rationale</t>
        </is>
      </c>
      <c r="H3" s="33" t="inlineStr">
        <is>
          <t>Comment</t>
        </is>
      </c>
    </row>
    <row r="4" ht="30" customHeight="1" s="43">
      <c r="A4" s="35" t="inlineStr">
        <is>
          <t>PLASTIC_SCRAP</t>
        </is>
      </c>
      <c r="B4" s="35" t="inlineStr">
        <is>
          <t>Conversion Efficiency (Recycling)</t>
        </is>
      </c>
      <c r="C4" s="35" t="n">
        <v>0.605</v>
      </c>
      <c r="D4" s="35" t="inlineStr">
        <is>
          <t>fraction</t>
        </is>
      </c>
      <c r="E4" s="35" t="inlineStr">
        <is>
          <t>conversionEffPerMat[0]</t>
        </is>
      </c>
      <c r="F4" s="35" t="inlineStr">
        <is>
          <t>Intermediate</t>
        </is>
      </c>
      <c r="G4" s="35" t="inlineStr">
        <is>
          <t>ecoinvent 3.10 'market for waste plastic, sorted' + WRAP (2017): ~15% sorting rejects + ~25% fines/contamination → net 60.5% recovery.</t>
        </is>
      </c>
      <c r="H4" s="35" t="inlineStr">
        <is>
          <t>Applied at Intermediate in recyclingProcessing(). Input: raw waste tonnes. Output: secondary material = input × efficiency.</t>
        </is>
      </c>
    </row>
    <row r="5" ht="30" customHeight="1" s="43">
      <c r="A5" s="34" t="inlineStr">
        <is>
          <t>PLASTIC_SCRAP</t>
        </is>
      </c>
      <c r="B5" s="34" t="inlineStr">
        <is>
          <t>processingEfficiency (PLASTIC_SCRAP)</t>
        </is>
      </c>
      <c r="C5" s="38" t="n">
        <v>0.98</v>
      </c>
      <c r="D5" s="34" t="inlineStr">
        <is>
          <t>fraction</t>
        </is>
      </c>
      <c r="E5" s="34" t="inlineStr">
        <is>
          <t>processingEffPerMat[0]</t>
        </is>
      </c>
      <c r="F5" s="34" t="inlineStr">
        <is>
          <t>Receiver</t>
        </is>
      </c>
      <c r="G5" s="36" t="inlineStr">
        <is>
          <t>Model assumption: high-purity HDPE pellet moulding with 2% scrap loss. Not separately implemented — embedded in demand calculation.</t>
        </is>
      </c>
      <c r="H5" s="36" t="inlineStr">
        <is>
          <t>Receiver processing residue ≈ 2% of throughput. Residue returned to Intermediate via acceptResidue().</t>
        </is>
      </c>
    </row>
    <row r="6" ht="30" customHeight="1" s="43">
      <c r="A6" s="35" t="inlineStr">
        <is>
          <t>PAPER_WASTE</t>
        </is>
      </c>
      <c r="B6" s="35" t="inlineStr">
        <is>
          <t>Conversion Efficiency (Recycling)</t>
        </is>
      </c>
      <c r="C6" s="35" t="n">
        <v>0.825</v>
      </c>
      <c r="D6" s="35" t="inlineStr">
        <is>
          <t>fraction</t>
        </is>
      </c>
      <c r="E6" s="35" t="inlineStr">
        <is>
          <t>conversionEffPerMat[1]</t>
        </is>
      </c>
      <c r="F6" s="35" t="inlineStr">
        <is>
          <t>Intermediate</t>
        </is>
      </c>
      <c r="G6" s="35" t="inlineStr">
        <is>
          <t>ecoinvent 3.10 'market for waste paper, sorted': typical OCC pulping recovery 80–85%. 82.5% adopted as midpoint.</t>
        </is>
      </c>
      <c r="H6" s="35" t="inlineStr">
        <is>
          <t>GWP_Recycled &gt; GWP_Virgin for paper (energy-intensive wet pulping); still environmentally preferable at system level.</t>
        </is>
      </c>
    </row>
    <row r="7" ht="30" customHeight="1" s="43">
      <c r="A7" s="34" t="inlineStr">
        <is>
          <t>PAPER_WASTE</t>
        </is>
      </c>
      <c r="B7" s="34" t="inlineStr">
        <is>
          <t>processingEfficiency (PAPER_WASTE)</t>
        </is>
      </c>
      <c r="C7" s="38" t="n">
        <v>0.95</v>
      </c>
      <c r="D7" s="34" t="inlineStr">
        <is>
          <t>fraction</t>
        </is>
      </c>
      <c r="E7" s="34" t="inlineStr">
        <is>
          <t>processingEffPerMat[1]</t>
        </is>
      </c>
      <c r="F7" s="34" t="inlineStr">
        <is>
          <t>Receiver</t>
        </is>
      </c>
      <c r="G7" s="36" t="inlineStr">
        <is>
          <t>Model assumption: paper/board production with 5% trim and reject loss. Literature proxy.</t>
        </is>
      </c>
      <c r="H7" s="36" t="inlineStr">
        <is>
          <t>Residue ≈ 5% of throughput. Returned to Intermediate if space available.</t>
        </is>
      </c>
    </row>
    <row r="8" ht="30" customHeight="1" s="43">
      <c r="A8" s="35" t="inlineStr">
        <is>
          <t>FERROUS_METAL</t>
        </is>
      </c>
      <c r="B8" s="35" t="inlineStr">
        <is>
          <t>Conversion Efficiency (Recycling)</t>
        </is>
      </c>
      <c r="C8" s="35" t="n">
        <v>0.77</v>
      </c>
      <c r="D8" s="35" t="inlineStr">
        <is>
          <t>fraction</t>
        </is>
      </c>
      <c r="E8" s="35" t="inlineStr">
        <is>
          <t>conversionEffPerMat[2]</t>
        </is>
      </c>
      <c r="F8" s="35" t="inlineStr">
        <is>
          <t>Intermediate</t>
        </is>
      </c>
      <c r="G8" s="35" t="inlineStr">
        <is>
          <t>Mixed ferrous scrap smelting in EAF: ~15% oxidation losses + ~8% sorting rejects = 77% net recovery. Proxy from ecoinvent 3.10 steel recycling pathway.</t>
        </is>
      </c>
      <c r="H8" s="35" t="inlineStr">
        <is>
          <t>EAF = Electric Arc Furnace. Accounts for slag, scale, and fines losses.</t>
        </is>
      </c>
    </row>
    <row r="9" ht="30" customHeight="1" s="43">
      <c r="A9" s="34" t="inlineStr">
        <is>
          <t>FERROUS_METAL</t>
        </is>
      </c>
      <c r="B9" s="34" t="inlineStr">
        <is>
          <t>processingEfficiency (FERROUS_METAL)</t>
        </is>
      </c>
      <c r="C9" s="38" t="n">
        <v>0.97</v>
      </c>
      <c r="D9" s="34" t="inlineStr">
        <is>
          <t>fraction</t>
        </is>
      </c>
      <c r="E9" s="34" t="inlineStr">
        <is>
          <t>processingEffPerMat[2]</t>
        </is>
      </c>
      <c r="F9" s="34" t="inlineStr">
        <is>
          <t>Receiver</t>
        </is>
      </c>
      <c r="G9" s="36" t="inlineStr">
        <is>
          <t>Model assumption: fabrication/machining with ~3% metal scrap loss. Generic manufacturing proxy.</t>
        </is>
      </c>
      <c r="H9" s="36" t="inlineStr">
        <is>
          <t>Ferrous metal residue (chips/turnings) returned to Intermediate for re-entry into IS loop.</t>
        </is>
      </c>
    </row>
    <row r="10" ht="30" customHeight="1" s="43">
      <c r="A10" s="35" t="inlineStr">
        <is>
          <t>TEXTILE_WASTE</t>
        </is>
      </c>
      <c r="B10" s="35" t="inlineStr">
        <is>
          <t>Conversion Efficiency (Recycling)</t>
        </is>
      </c>
      <c r="C10" s="35" t="n">
        <v>0.55</v>
      </c>
      <c r="D10" s="35" t="inlineStr">
        <is>
          <t>fraction</t>
        </is>
      </c>
      <c r="E10" s="35" t="inlineStr">
        <is>
          <t>conversionEffPerMat[3]</t>
        </is>
      </c>
      <c r="F10" s="35" t="inlineStr">
        <is>
          <t>Intermediate</t>
        </is>
      </c>
      <c r="G10" s="35" t="inlineStr">
        <is>
          <t>WRAP (2017) 'Valuing Our Clothes': mixed synthetic/natural textile recycling 50–60% net recovery due to blended fibre separation losses. 55% adopted.</t>
        </is>
      </c>
      <c r="H10" s="35" t="inlineStr">
        <is>
          <t>Blended fibre sorting is technically challenging; higher contamination than paper or metal.</t>
        </is>
      </c>
    </row>
    <row r="11" ht="30" customHeight="1" s="43">
      <c r="A11" s="34" t="inlineStr">
        <is>
          <t>TEXTILE_WASTE</t>
        </is>
      </c>
      <c r="B11" s="34" t="inlineStr">
        <is>
          <t>processingEfficiency (TEXTILE_WASTE)</t>
        </is>
      </c>
      <c r="C11" s="38" t="n">
        <v>0.93</v>
      </c>
      <c r="D11" s="34" t="inlineStr">
        <is>
          <t>fraction</t>
        </is>
      </c>
      <c r="E11" s="34" t="inlineStr">
        <is>
          <t>processingEffPerMat[3]</t>
        </is>
      </c>
      <c r="F11" s="34" t="inlineStr">
        <is>
          <t>Receiver</t>
        </is>
      </c>
      <c r="G11" s="36" t="inlineStr">
        <is>
          <t>Model assumption: garment cutting waste ~7% of fabric input (industry average). Proxy from Ellen MacArthur Foundation (2017).</t>
        </is>
      </c>
      <c r="H11" s="36" t="inlineStr">
        <is>
          <t>Textile cutting residue returned to Intermediate for potential re-recycling.</t>
        </is>
      </c>
    </row>
    <row r="12" ht="30" customHeight="1" s="43">
      <c r="A12" s="35" t="inlineStr">
        <is>
          <t>NON_FERROUS_METAL</t>
        </is>
      </c>
      <c r="B12" s="35" t="inlineStr">
        <is>
          <t>Conversion Efficiency (Recycling)</t>
        </is>
      </c>
      <c r="C12" s="35" t="n">
        <v>0.66</v>
      </c>
      <c r="D12" s="35" t="inlineStr">
        <is>
          <t>fraction</t>
        </is>
      </c>
      <c r="E12" s="35" t="inlineStr">
        <is>
          <t>conversionEffPerMat[4]</t>
        </is>
      </c>
      <c r="F12" s="35" t="inlineStr">
        <is>
          <t>Intermediate</t>
        </is>
      </c>
      <c r="G12" s="35" t="inlineStr">
        <is>
          <t>Mixed Al/Cu/Zn non-ferrous scrap: sorting and smelting losses ~34%. ecoinvent 3.10 secondary aluminium pathway (Al dominates non-ferrous stream at VSIP1).</t>
        </is>
      </c>
      <c r="H12" s="35" t="inlineStr">
        <is>
          <t>Non-ferrous includes Cu and Zn; Al dominates. 66% reflects mixed-alloy remelting losses.</t>
        </is>
      </c>
    </row>
    <row r="13" ht="30" customHeight="1" s="43">
      <c r="A13" s="34" t="inlineStr">
        <is>
          <t>NON_FERROUS_METAL</t>
        </is>
      </c>
      <c r="B13" s="34" t="inlineStr">
        <is>
          <t>processingEfficiency (NON_FERROUS_METAL)</t>
        </is>
      </c>
      <c r="C13" s="38" t="n">
        <v>0.96</v>
      </c>
      <c r="D13" s="34" t="inlineStr">
        <is>
          <t>fraction</t>
        </is>
      </c>
      <c r="E13" s="34" t="inlineStr">
        <is>
          <t>processingEffPerMat[4]</t>
        </is>
      </c>
      <c r="F13" s="34" t="inlineStr">
        <is>
          <t>Receiver</t>
        </is>
      </c>
      <c r="G13" s="36" t="inlineStr">
        <is>
          <t>Model assumption: precision machining of non-ferrous metals with ~4% swarf/chips loss. Generic proxy.</t>
        </is>
      </c>
      <c r="H13" s="36" t="inlineStr">
        <is>
          <t>High-value metal residue; returned to Intermediate. Intermediate pays Provider for this stream.</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0"/>
  <sheetViews>
    <sheetView zoomScale="70" zoomScaleNormal="70" workbookViewId="0">
      <pane ySplit="2" topLeftCell="A3" activePane="bottomLeft" state="frozen"/>
      <selection pane="bottomLeft" activeCell="C23" sqref="C23"/>
    </sheetView>
  </sheetViews>
  <sheetFormatPr baseColWidth="10" defaultColWidth="10.6328125" defaultRowHeight="14.25" customHeight="1"/>
  <cols>
    <col width="16" customWidth="1" style="43" min="1" max="2"/>
    <col width="22" customWidth="1" style="43" min="3" max="3"/>
    <col width="44" customWidth="1" style="43" min="4" max="4"/>
    <col width="18" customWidth="1" style="43" min="5" max="5"/>
    <col width="9" customWidth="1" style="43" min="6" max="6"/>
    <col width="7" customWidth="1" style="43" min="7" max="7"/>
    <col width="18" customWidth="1" style="43" min="8" max="8"/>
    <col width="9" customWidth="1" style="43" min="9" max="9"/>
    <col width="7" customWidth="1" style="43" min="10" max="10"/>
    <col width="18" customWidth="1" style="43" min="11" max="11"/>
    <col width="9" customWidth="1" style="43" min="12" max="12"/>
    <col width="7" customWidth="1" style="43" min="13" max="13"/>
    <col width="10" customWidth="1" style="43" min="14" max="14"/>
    <col width="9" customWidth="1" style="43" min="15" max="15"/>
    <col width="14" customWidth="1" style="43" min="16" max="16"/>
    <col width="7" customWidth="1" style="43" min="17" max="17"/>
    <col width="40" customWidth="1" style="43" min="18" max="18"/>
    <col width="25" customWidth="1" style="43" min="19" max="19"/>
  </cols>
  <sheetData>
    <row r="1" ht="30" customHeight="1" s="43">
      <c r="A1" s="52" t="inlineStr">
        <is>
          <t>Emission and cost factors:</t>
        </is>
      </c>
      <c r="B1" s="53" t="n"/>
      <c r="C1" s="52" t="n"/>
      <c r="D1" s="52" t="n"/>
      <c r="E1" s="52" t="inlineStr">
        <is>
          <t>ReCiPe 2016 v1.03, midpoint (H) no LT global warming potential (GWP100)</t>
        </is>
      </c>
      <c r="F1" s="52" t="n"/>
      <c r="G1" s="52" t="n"/>
      <c r="H1" s="52" t="inlineStr">
        <is>
          <t xml:space="preserve">ReCiPe 2016 v1.03, midpoint (H) no LT human toxicity potential (HTPnc) </t>
        </is>
      </c>
      <c r="I1" s="52" t="n"/>
      <c r="J1" s="52" t="n"/>
      <c r="K1" s="52" t="inlineStr">
        <is>
          <t xml:space="preserve">ReCiPe 2016 v1.03, midpoint (H) no LT agricultural land occupation (LOP) </t>
        </is>
      </c>
      <c r="L1" s="52" t="n"/>
      <c r="M1" s="52" t="n"/>
      <c r="N1" s="52" t="n"/>
      <c r="O1" s="52" t="n"/>
      <c r="P1" s="52" t="n"/>
      <c r="Q1" s="52" t="n"/>
      <c r="R1" s="52" t="n"/>
      <c r="S1" s="52" t="n"/>
    </row>
    <row r="2" ht="21.75" customHeight="1" s="43">
      <c r="A2" s="1" t="inlineStr">
        <is>
          <t>NEA waste type</t>
        </is>
      </c>
      <c r="B2" s="1" t="inlineStr">
        <is>
          <t>Pathway</t>
        </is>
      </c>
      <c r="C2" s="1" t="inlineStr">
        <is>
          <t>Product</t>
        </is>
      </c>
      <c r="D2" s="1" t="inlineStr">
        <is>
          <t>Activity name / related processes</t>
        </is>
      </c>
      <c r="E2" s="1" t="inlineStr">
        <is>
          <t>EF [kg CO2-eq/unit]</t>
        </is>
      </c>
      <c r="F2" s="1" t="inlineStr">
        <is>
          <t>Unit</t>
        </is>
      </c>
      <c r="G2" s="1" t="inlineStr">
        <is>
          <t>Location</t>
        </is>
      </c>
      <c r="H2" s="1" t="inlineStr">
        <is>
          <t>HT [kg 1,4-DCB-eq/unit]</t>
        </is>
      </c>
      <c r="I2" s="1" t="inlineStr">
        <is>
          <t>Unit</t>
        </is>
      </c>
      <c r="J2" s="1" t="inlineStr">
        <is>
          <t>Location</t>
        </is>
      </c>
      <c r="K2" s="1" t="inlineStr">
        <is>
          <t>LU [m2*a crop-eq/unit]</t>
        </is>
      </c>
      <c r="L2" s="1" t="inlineStr">
        <is>
          <t>Unit</t>
        </is>
      </c>
      <c r="M2" s="1" t="inlineStr">
        <is>
          <t>Location</t>
        </is>
      </c>
      <c r="N2" s="1" t="inlineStr">
        <is>
          <t>Cost</t>
        </is>
      </c>
      <c r="O2" s="1" t="inlineStr">
        <is>
          <t>Unit</t>
        </is>
      </c>
      <c r="P2" s="1" t="inlineStr">
        <is>
          <t xml:space="preserve">Cost recycling plant </t>
        </is>
      </c>
      <c r="Q2" s="1" t="inlineStr">
        <is>
          <t>Unit</t>
        </is>
      </c>
      <c r="R2" s="1" t="inlineStr">
        <is>
          <t>Source</t>
        </is>
      </c>
      <c r="S2" s="1" t="inlineStr">
        <is>
          <t>Comment</t>
        </is>
      </c>
    </row>
    <row r="3" ht="21.75" customHeight="1" s="43">
      <c r="A3" s="51" t="inlineStr">
        <is>
          <t>-</t>
        </is>
      </c>
      <c r="B3" s="51" t="inlineStr">
        <is>
          <t>Transportation</t>
        </is>
      </c>
      <c r="C3" s="51" t="inlineStr">
        <is>
          <t>Transport by truck</t>
        </is>
      </c>
      <c r="D3" s="51" t="inlineStr">
        <is>
          <t>transport, freight, lorry 16-32 metric ton, diesel, EURO5</t>
        </is>
      </c>
      <c r="E3" s="51">
        <f>0.206378099071191/1000</f>
        <v/>
      </c>
      <c r="F3" s="51" t="inlineStr">
        <is>
          <t>kg*km</t>
        </is>
      </c>
      <c r="G3" s="51" t="inlineStr">
        <is>
          <t>RoW</t>
        </is>
      </c>
      <c r="H3" s="51">
        <f>0.0495086992688564/1000</f>
        <v/>
      </c>
      <c r="I3" s="51" t="inlineStr">
        <is>
          <t>t*km</t>
        </is>
      </c>
      <c r="J3" s="51" t="inlineStr">
        <is>
          <t>RoW</t>
        </is>
      </c>
      <c r="K3" s="51">
        <f>0.00742244066841271/1000</f>
        <v/>
      </c>
      <c r="L3" s="51" t="inlineStr">
        <is>
          <t>t*km</t>
        </is>
      </c>
      <c r="M3" s="51" t="inlineStr">
        <is>
          <t>RoW</t>
        </is>
      </c>
      <c r="N3" s="51" t="n">
        <v>0.1</v>
      </c>
      <c r="O3" s="51" t="inlineStr">
        <is>
          <t>SGD/t*km</t>
        </is>
      </c>
      <c r="P3" s="51" t="inlineStr">
        <is>
          <t>-</t>
        </is>
      </c>
      <c r="Q3" s="51" t="inlineStr">
        <is>
          <t>-</t>
        </is>
      </c>
      <c r="R3" s="51" t="inlineStr">
        <is>
          <t>Worldbank (2019)</t>
        </is>
      </c>
      <c r="S3" s="51" t="inlineStr">
        <is>
          <t>-</t>
        </is>
      </c>
    </row>
    <row r="4" ht="21.75" customHeight="1" s="43">
      <c r="A4" s="49" t="n"/>
      <c r="B4" s="49" t="n"/>
      <c r="C4" s="48" t="inlineStr">
        <is>
          <t>Transport by sea</t>
        </is>
      </c>
      <c r="D4" s="48" t="inlineStr">
        <is>
          <t>market for transport, freight, sea, container ship</t>
        </is>
      </c>
      <c r="E4" s="48">
        <f>0.010248512/1000</f>
        <v/>
      </c>
      <c r="F4" s="48" t="inlineStr">
        <is>
          <t>kg*km</t>
        </is>
      </c>
      <c r="G4" s="48" t="inlineStr">
        <is>
          <t>GLO</t>
        </is>
      </c>
      <c r="H4" s="48">
        <f>0.010248512/1000</f>
        <v/>
      </c>
      <c r="I4" s="48" t="inlineStr">
        <is>
          <t>kg*km</t>
        </is>
      </c>
      <c r="J4" s="48" t="inlineStr">
        <is>
          <t>GLO</t>
        </is>
      </c>
      <c r="K4" s="48">
        <f>0.010248512/1000</f>
        <v/>
      </c>
      <c r="L4" s="48" t="inlineStr">
        <is>
          <t>kg*km</t>
        </is>
      </c>
      <c r="M4" s="48" t="inlineStr">
        <is>
          <t>GLO</t>
        </is>
      </c>
      <c r="N4" s="48" t="n"/>
      <c r="O4" s="48" t="n"/>
      <c r="P4" s="18" t="n"/>
      <c r="Q4" s="48" t="n"/>
      <c r="R4" s="48" t="inlineStr">
        <is>
          <t>[1]</t>
        </is>
      </c>
      <c r="S4" s="48" t="inlineStr">
        <is>
          <t>-</t>
        </is>
      </c>
    </row>
    <row r="5" ht="21.75" customHeight="1" s="43">
      <c r="A5" s="50" t="n"/>
      <c r="B5" s="50" t="n"/>
      <c r="C5" s="51" t="inlineStr">
        <is>
          <t>Transport by barge</t>
        </is>
      </c>
      <c r="D5" s="51" t="inlineStr">
        <is>
          <t>transport, freight, inland waterways, barge</t>
        </is>
      </c>
      <c r="E5" s="51" t="n">
        <v>5.1968599e-05</v>
      </c>
      <c r="F5" s="51" t="inlineStr">
        <is>
          <t>kg*km</t>
        </is>
      </c>
      <c r="G5" s="51" t="inlineStr">
        <is>
          <t>RoW</t>
        </is>
      </c>
      <c r="H5" s="51" t="n">
        <v>5.1968599e-05</v>
      </c>
      <c r="I5" s="51" t="inlineStr">
        <is>
          <t>kg*km</t>
        </is>
      </c>
      <c r="J5" s="51" t="inlineStr">
        <is>
          <t>RoW</t>
        </is>
      </c>
      <c r="K5" s="51" t="n">
        <v>5.1968599e-05</v>
      </c>
      <c r="L5" s="51" t="inlineStr">
        <is>
          <t>kg*km</t>
        </is>
      </c>
      <c r="M5" s="51" t="inlineStr">
        <is>
          <t>RoW</t>
        </is>
      </c>
      <c r="N5" s="51" t="n"/>
      <c r="O5" s="51" t="n"/>
      <c r="P5" s="51" t="n"/>
      <c r="Q5" s="51" t="n"/>
      <c r="R5" s="51" t="inlineStr">
        <is>
          <t>[1]</t>
        </is>
      </c>
      <c r="S5" s="51" t="inlineStr">
        <is>
          <t>-</t>
        </is>
      </c>
    </row>
    <row r="6" ht="21.75" customHeight="1" s="43">
      <c r="A6" s="48" t="inlineStr">
        <is>
          <t>Ferrous Metal</t>
        </is>
      </c>
      <c r="B6" s="48" t="inlineStr">
        <is>
          <t>Recycling</t>
        </is>
      </c>
      <c r="C6" s="48" t="inlineStr">
        <is>
          <t>Reinforcement steel</t>
        </is>
      </c>
      <c r="D6" s="48" t="inlineStr">
        <is>
          <t>treatment of waste reinforcement steel, recycling</t>
        </is>
      </c>
      <c r="E6" s="48" t="n">
        <v>0.0626794487258778</v>
      </c>
      <c r="F6" s="48" t="inlineStr">
        <is>
          <t>kg</t>
        </is>
      </c>
      <c r="G6" s="48" t="inlineStr">
        <is>
          <t>RoW</t>
        </is>
      </c>
      <c r="H6" s="48" t="n">
        <v>0.00143134241669023</v>
      </c>
      <c r="I6" s="48" t="inlineStr">
        <is>
          <t>kg</t>
        </is>
      </c>
      <c r="J6" s="48" t="inlineStr">
        <is>
          <t>RoW</t>
        </is>
      </c>
      <c r="K6" s="48" t="n">
        <v>0.000176295182195663</v>
      </c>
      <c r="L6" s="48" t="inlineStr">
        <is>
          <t>kg</t>
        </is>
      </c>
      <c r="M6" s="48" t="inlineStr">
        <is>
          <t>RoW</t>
        </is>
      </c>
      <c r="N6" s="48">
        <f>450</f>
        <v/>
      </c>
      <c r="O6" s="48" t="inlineStr">
        <is>
          <t>SGD/t</t>
        </is>
      </c>
      <c r="P6" s="18" t="n">
        <v>650000</v>
      </c>
      <c r="Q6" s="48" t="inlineStr">
        <is>
          <t>SGD</t>
        </is>
      </c>
      <c r="R6" s="48" t="inlineStr">
        <is>
          <t>Kallanish Commodities (2025); Finmodelslab (2025)</t>
        </is>
      </c>
      <c r="S6" s="48" t="inlineStr">
        <is>
          <t>-</t>
        </is>
      </c>
    </row>
    <row r="7" ht="21.75" customHeight="1" s="43">
      <c r="A7" s="49" t="n"/>
      <c r="B7" s="51" t="inlineStr">
        <is>
          <t>Virgin production</t>
        </is>
      </c>
      <c r="C7" s="51" t="inlineStr">
        <is>
          <t>Reinforcement steel</t>
        </is>
      </c>
      <c r="D7" s="51" t="inlineStr">
        <is>
          <t>reinforcing steel production</t>
        </is>
      </c>
      <c r="E7" s="51" t="n">
        <v>2.23091817476524</v>
      </c>
      <c r="F7" s="51" t="inlineStr">
        <is>
          <t>kg</t>
        </is>
      </c>
      <c r="G7" s="51" t="inlineStr">
        <is>
          <t>RoW</t>
        </is>
      </c>
      <c r="H7" s="51" t="n">
        <v>0.290156978695407</v>
      </c>
      <c r="I7" s="51" t="inlineStr">
        <is>
          <t>kg</t>
        </is>
      </c>
      <c r="J7" s="51" t="inlineStr">
        <is>
          <t>RoW</t>
        </is>
      </c>
      <c r="K7" s="51" t="n">
        <v>0.0380575327018262</v>
      </c>
      <c r="L7" s="51" t="inlineStr">
        <is>
          <t>kg</t>
        </is>
      </c>
      <c r="M7" s="51" t="inlineStr">
        <is>
          <t>RoW</t>
        </is>
      </c>
      <c r="N7" s="51">
        <f>700</f>
        <v/>
      </c>
      <c r="O7" s="51" t="inlineStr">
        <is>
          <t>SGD/t</t>
        </is>
      </c>
      <c r="P7" s="51" t="inlineStr">
        <is>
          <t>-</t>
        </is>
      </c>
      <c r="Q7" s="51" t="inlineStr">
        <is>
          <t>-</t>
        </is>
      </c>
      <c r="R7" s="51" t="inlineStr">
        <is>
          <t>MEPS International (2025)</t>
        </is>
      </c>
      <c r="S7" s="51" t="inlineStr">
        <is>
          <t>-</t>
        </is>
      </c>
    </row>
    <row r="8" ht="21.75" customHeight="1" s="43">
      <c r="A8" s="50" t="n"/>
      <c r="B8" s="48" t="inlineStr">
        <is>
          <t>Landfill</t>
        </is>
      </c>
      <c r="C8" s="48" t="inlineStr">
        <is>
          <t>Waste steel</t>
        </is>
      </c>
      <c r="D8" s="48" t="inlineStr">
        <is>
          <t>treatment of waste steel, inert material landfill</t>
        </is>
      </c>
      <c r="E8" s="48" t="n">
        <v>0.0641897612040538</v>
      </c>
      <c r="F8" s="48" t="inlineStr">
        <is>
          <t>kg</t>
        </is>
      </c>
      <c r="G8" s="48" t="inlineStr">
        <is>
          <t>RoW</t>
        </is>
      </c>
      <c r="H8" s="48" t="n">
        <v>0.000454565476053451</v>
      </c>
      <c r="I8" s="48" t="inlineStr">
        <is>
          <t>kg</t>
        </is>
      </c>
      <c r="J8" s="48" t="inlineStr">
        <is>
          <t>RoW</t>
        </is>
      </c>
      <c r="K8" s="48" t="n">
        <v>0.000841861202009278</v>
      </c>
      <c r="L8" s="48" t="inlineStr">
        <is>
          <t>kg</t>
        </is>
      </c>
      <c r="M8" s="48" t="inlineStr">
        <is>
          <t>RoW</t>
        </is>
      </c>
      <c r="N8" s="48" t="n">
        <v>20</v>
      </c>
      <c r="O8" s="48" t="inlineStr">
        <is>
          <t>SGD/t</t>
        </is>
      </c>
      <c r="P8" s="48" t="inlineStr">
        <is>
          <t>-</t>
        </is>
      </c>
      <c r="Q8" s="48" t="inlineStr">
        <is>
          <t>-</t>
        </is>
      </c>
      <c r="R8" s="48" t="inlineStr">
        <is>
          <t>Vietnam Business Council for Sustainable Development (2019)</t>
        </is>
      </c>
      <c r="S8" s="48" t="n"/>
    </row>
    <row r="9" ht="21.75" customHeight="1" s="43">
      <c r="A9" s="51" t="inlineStr">
        <is>
          <t>Non-ferrous metal</t>
        </is>
      </c>
      <c r="B9" s="51" t="inlineStr">
        <is>
          <t>Recycling</t>
        </is>
      </c>
      <c r="C9" s="51" t="inlineStr">
        <is>
          <t>Aluminium, cast alloy</t>
        </is>
      </c>
      <c r="D9" s="51" t="inlineStr">
        <is>
          <t>treatment of aluminium scrap, post-consumer, prepared for recycling, at refiner</t>
        </is>
      </c>
      <c r="E9" s="51" t="n">
        <v>0.893284743938489</v>
      </c>
      <c r="F9" s="51" t="inlineStr">
        <is>
          <t>kg</t>
        </is>
      </c>
      <c r="G9" s="51" t="inlineStr">
        <is>
          <t>RoW</t>
        </is>
      </c>
      <c r="H9" s="51" t="n">
        <v>0.950995072172902</v>
      </c>
      <c r="I9" s="51" t="inlineStr">
        <is>
          <t>kg</t>
        </is>
      </c>
      <c r="J9" s="51" t="inlineStr">
        <is>
          <t>RoW</t>
        </is>
      </c>
      <c r="K9" s="51" t="n">
        <v>0.0361322882372964</v>
      </c>
      <c r="L9" s="51" t="inlineStr">
        <is>
          <t>kg</t>
        </is>
      </c>
      <c r="M9" s="51" t="inlineStr">
        <is>
          <t>RoW</t>
        </is>
      </c>
      <c r="N9" s="51">
        <f>2500</f>
        <v/>
      </c>
      <c r="O9" s="51" t="inlineStr">
        <is>
          <t>SGD/t</t>
        </is>
      </c>
      <c r="P9" s="19" t="n">
        <v>350000</v>
      </c>
      <c r="Q9" s="51" t="inlineStr">
        <is>
          <t>SGD</t>
        </is>
      </c>
      <c r="R9" s="51" t="inlineStr">
        <is>
          <t>Chew (2025); Samadhan (n.d.)</t>
        </is>
      </c>
      <c r="S9" s="51" t="inlineStr">
        <is>
          <t>-</t>
        </is>
      </c>
    </row>
    <row r="10" ht="21.75" customHeight="1" s="43">
      <c r="A10" s="49" t="n"/>
      <c r="B10" s="48" t="inlineStr">
        <is>
          <t>Virgin production</t>
        </is>
      </c>
      <c r="C10" s="48" t="inlineStr">
        <is>
          <t>Aluminium, cast alloy</t>
        </is>
      </c>
      <c r="D10" s="48" t="inlineStr">
        <is>
          <t>aluminium production, primary, cast alloy slab from continuous casting</t>
        </is>
      </c>
      <c r="E10" s="48" t="n">
        <v>20.9268424240263</v>
      </c>
      <c r="F10" s="48" t="inlineStr">
        <is>
          <t>kg</t>
        </is>
      </c>
      <c r="G10" s="48" t="inlineStr">
        <is>
          <t>RoW</t>
        </is>
      </c>
      <c r="H10" s="48" t="n">
        <v>1.3678971031645</v>
      </c>
      <c r="I10" s="48" t="inlineStr">
        <is>
          <t>kg</t>
        </is>
      </c>
      <c r="J10" s="48" t="inlineStr">
        <is>
          <t>RoW</t>
        </is>
      </c>
      <c r="K10" s="48" t="n">
        <v>0.190351087648024</v>
      </c>
      <c r="L10" s="48" t="inlineStr">
        <is>
          <t>kg</t>
        </is>
      </c>
      <c r="M10" s="48" t="inlineStr">
        <is>
          <t>RoW</t>
        </is>
      </c>
      <c r="N10" s="48">
        <f>3200</f>
        <v/>
      </c>
      <c r="O10" s="48" t="inlineStr">
        <is>
          <t>SGD/t</t>
        </is>
      </c>
      <c r="P10" s="48" t="inlineStr">
        <is>
          <t>-</t>
        </is>
      </c>
      <c r="Q10" s="48" t="inlineStr">
        <is>
          <t>-</t>
        </is>
      </c>
      <c r="R10" s="48" t="inlineStr">
        <is>
          <t>SSM (2025)</t>
        </is>
      </c>
      <c r="S10" s="48" t="inlineStr">
        <is>
          <t>-</t>
        </is>
      </c>
    </row>
    <row r="11" ht="21.75" customHeight="1" s="43">
      <c r="A11" s="50" t="n"/>
      <c r="B11" s="51" t="inlineStr">
        <is>
          <t>Landfill</t>
        </is>
      </c>
      <c r="C11" s="51" t="inlineStr">
        <is>
          <t>Waste Aluminium</t>
        </is>
      </c>
      <c r="D11" s="51" t="inlineStr">
        <is>
          <t>treatment of waste aluminium, sanitary landfill</t>
        </is>
      </c>
      <c r="E11" s="51" t="n">
        <v>0.0171749693357053</v>
      </c>
      <c r="F11" s="51" t="inlineStr">
        <is>
          <t>kg</t>
        </is>
      </c>
      <c r="G11" s="51" t="inlineStr">
        <is>
          <t>RoW</t>
        </is>
      </c>
      <c r="H11" s="51" t="n">
        <v>0.0173246625319673</v>
      </c>
      <c r="I11" s="51" t="inlineStr">
        <is>
          <t>kg</t>
        </is>
      </c>
      <c r="J11" s="51" t="inlineStr">
        <is>
          <t>RoW</t>
        </is>
      </c>
      <c r="K11" s="51" t="n">
        <v>0.00308066614985895</v>
      </c>
      <c r="L11" s="51" t="inlineStr">
        <is>
          <t>kg</t>
        </is>
      </c>
      <c r="M11" s="51" t="inlineStr">
        <is>
          <t>RoW</t>
        </is>
      </c>
      <c r="N11" s="51" t="n">
        <v>20</v>
      </c>
      <c r="O11" s="51" t="inlineStr">
        <is>
          <t>SGD/t</t>
        </is>
      </c>
      <c r="P11" s="51" t="inlineStr">
        <is>
          <t>-</t>
        </is>
      </c>
      <c r="Q11" s="51" t="inlineStr">
        <is>
          <t>-</t>
        </is>
      </c>
      <c r="R11" s="51" t="inlineStr">
        <is>
          <t>Vietnam Business Council for Sustainable Development (2019)</t>
        </is>
      </c>
      <c r="S11" s="51" t="n"/>
    </row>
    <row r="12" ht="21.75" customHeight="1" s="43">
      <c r="A12" s="48" t="inlineStr">
        <is>
          <t>Paper / Cardboard</t>
        </is>
      </c>
      <c r="B12" s="48" t="inlineStr">
        <is>
          <t>Recycling</t>
        </is>
      </c>
      <c r="C12" s="48" t="inlineStr">
        <is>
          <t>Graphic paper</t>
        </is>
      </c>
      <c r="D12" s="48" t="inlineStr">
        <is>
          <t>graphic paper production, 100% recycled</t>
        </is>
      </c>
      <c r="E12" s="48" t="n">
        <v>1.14316594188477</v>
      </c>
      <c r="F12" s="48" t="inlineStr">
        <is>
          <t>kg</t>
        </is>
      </c>
      <c r="G12" s="48" t="inlineStr">
        <is>
          <t>RoW</t>
        </is>
      </c>
      <c r="H12" s="48" t="n">
        <v>0.468846134516184</v>
      </c>
      <c r="I12" s="48" t="inlineStr">
        <is>
          <t>kg</t>
        </is>
      </c>
      <c r="J12" s="48" t="inlineStr">
        <is>
          <t>RoW</t>
        </is>
      </c>
      <c r="K12" s="48" t="n">
        <v>0.282916739058487</v>
      </c>
      <c r="L12" s="48" t="inlineStr">
        <is>
          <t>kg</t>
        </is>
      </c>
      <c r="M12" s="48" t="inlineStr">
        <is>
          <t>RoW</t>
        </is>
      </c>
      <c r="N12" s="48">
        <f>250</f>
        <v/>
      </c>
      <c r="O12" s="48" t="inlineStr">
        <is>
          <t>SGD/t</t>
        </is>
      </c>
      <c r="P12" s="18" t="n">
        <v>200000</v>
      </c>
      <c r="Q12" s="48" t="inlineStr">
        <is>
          <t>SGD</t>
        </is>
      </c>
      <c r="R12" s="48" t="inlineStr">
        <is>
          <t>Fastmarkets (2025); World Paper Mill (2024)</t>
        </is>
      </c>
      <c r="S12" s="48" t="inlineStr">
        <is>
          <t>-</t>
        </is>
      </c>
    </row>
    <row r="13" ht="21.75" customHeight="1" s="43">
      <c r="A13" s="49" t="n"/>
      <c r="B13" s="51" t="inlineStr">
        <is>
          <t>Virgin production</t>
        </is>
      </c>
      <c r="C13" s="51" t="inlineStr">
        <is>
          <t>Graphic paper</t>
        </is>
      </c>
      <c r="D13" s="51" t="inlineStr">
        <is>
          <t>paper, woodfree, uncoated</t>
        </is>
      </c>
      <c r="E13" s="51" t="n">
        <v>1.05099232426659</v>
      </c>
      <c r="F13" s="51" t="inlineStr">
        <is>
          <t>kg</t>
        </is>
      </c>
      <c r="G13" s="51" t="inlineStr">
        <is>
          <t>RoW</t>
        </is>
      </c>
      <c r="H13" s="51" t="n">
        <v>0.970709963071003</v>
      </c>
      <c r="I13" s="51" t="inlineStr">
        <is>
          <t>kg</t>
        </is>
      </c>
      <c r="J13" s="51" t="inlineStr">
        <is>
          <t>RoW</t>
        </is>
      </c>
      <c r="K13" s="51" t="n">
        <v>1.36474303676972</v>
      </c>
      <c r="L13" s="51" t="inlineStr">
        <is>
          <t>kg</t>
        </is>
      </c>
      <c r="M13" s="51" t="inlineStr">
        <is>
          <t>RoW</t>
        </is>
      </c>
      <c r="N13" s="51">
        <f>950</f>
        <v/>
      </c>
      <c r="O13" s="51" t="inlineStr">
        <is>
          <t>SGD/t</t>
        </is>
      </c>
      <c r="P13" s="51" t="inlineStr">
        <is>
          <t>-</t>
        </is>
      </c>
      <c r="Q13" s="51" t="inlineStr">
        <is>
          <t>-</t>
        </is>
      </c>
      <c r="R13" s="51" t="inlineStr">
        <is>
          <t>Fastmarkets (2025)</t>
        </is>
      </c>
      <c r="S13" s="51" t="n"/>
    </row>
    <row r="14" ht="21.75" customHeight="1" s="43">
      <c r="A14" s="50" t="n"/>
      <c r="B14" s="48" t="inlineStr">
        <is>
          <t>Landfill</t>
        </is>
      </c>
      <c r="C14" s="48" t="inlineStr">
        <is>
          <t>Waste graphical paper</t>
        </is>
      </c>
      <c r="D14" s="48" t="inlineStr">
        <is>
          <t>treatment of waste graphical paper, sanitary landfill</t>
        </is>
      </c>
      <c r="E14" s="48" t="n">
        <v>1.27973681578935</v>
      </c>
      <c r="F14" s="48" t="inlineStr">
        <is>
          <t>kg</t>
        </is>
      </c>
      <c r="G14" s="48" t="inlineStr">
        <is>
          <t>RoW</t>
        </is>
      </c>
      <c r="H14" s="48" t="n">
        <v>0.0375411932509706</v>
      </c>
      <c r="I14" s="48" t="inlineStr">
        <is>
          <t>kg</t>
        </is>
      </c>
      <c r="J14" s="48" t="inlineStr">
        <is>
          <t>RoW</t>
        </is>
      </c>
      <c r="K14" s="48" t="n">
        <v>0.00297500746277962</v>
      </c>
      <c r="L14" s="48" t="inlineStr">
        <is>
          <t>kg</t>
        </is>
      </c>
      <c r="M14" s="48" t="inlineStr">
        <is>
          <t>RoW</t>
        </is>
      </c>
      <c r="N14" s="48" t="n">
        <v>20</v>
      </c>
      <c r="O14" s="48" t="inlineStr">
        <is>
          <t>SGD/t</t>
        </is>
      </c>
      <c r="P14" s="48" t="inlineStr">
        <is>
          <t>-</t>
        </is>
      </c>
      <c r="Q14" s="48" t="inlineStr">
        <is>
          <t>-</t>
        </is>
      </c>
      <c r="R14" s="48" t="inlineStr">
        <is>
          <t>Vietnam Business Council for Sustainable Development (2019)</t>
        </is>
      </c>
      <c r="S14" s="48" t="n"/>
    </row>
    <row r="15" ht="21.75" customHeight="1" s="43">
      <c r="A15" s="51" t="inlineStr">
        <is>
          <t>Plastics</t>
        </is>
      </c>
      <c r="B15" s="51" t="inlineStr">
        <is>
          <t>Recycling</t>
        </is>
      </c>
      <c r="C15" s="51" t="inlineStr">
        <is>
          <t>Polyethylene, high density</t>
        </is>
      </c>
      <c r="D15" s="51" t="inlineStr">
        <is>
          <t>polyethylene production, high density, granulate, recycled</t>
        </is>
      </c>
      <c r="E15" s="51" t="n">
        <v>0.708948043165875</v>
      </c>
      <c r="F15" s="51" t="inlineStr">
        <is>
          <t>kg</t>
        </is>
      </c>
      <c r="G15" s="51" t="inlineStr">
        <is>
          <t>RoW</t>
        </is>
      </c>
      <c r="H15" s="51" t="n">
        <v>0.129792033751026</v>
      </c>
      <c r="I15" s="51" t="inlineStr">
        <is>
          <t>kg</t>
        </is>
      </c>
      <c r="J15" s="51" t="inlineStr">
        <is>
          <t>RoW</t>
        </is>
      </c>
      <c r="K15" s="51" t="n">
        <v>0.0190475544295438</v>
      </c>
      <c r="L15" s="51" t="inlineStr">
        <is>
          <t>kg</t>
        </is>
      </c>
      <c r="M15" s="51" t="inlineStr">
        <is>
          <t>RoW</t>
        </is>
      </c>
      <c r="N15" s="20">
        <f>105</f>
        <v/>
      </c>
      <c r="O15" s="51" t="inlineStr">
        <is>
          <t>SGD/t</t>
        </is>
      </c>
      <c r="P15" s="19" t="n">
        <v>500000</v>
      </c>
      <c r="Q15" s="51" t="inlineStr">
        <is>
          <t>SGD</t>
        </is>
      </c>
      <c r="R15" s="51" t="inlineStr">
        <is>
          <t>Wong (2025); Energycle (2025)</t>
        </is>
      </c>
      <c r="S15" s="20" t="inlineStr">
        <is>
          <t>-</t>
        </is>
      </c>
    </row>
    <row r="16" ht="21.75" customHeight="1" s="43">
      <c r="A16" s="49" t="n"/>
      <c r="B16" s="48" t="inlineStr">
        <is>
          <t>Virgin production</t>
        </is>
      </c>
      <c r="C16" s="48" t="inlineStr">
        <is>
          <t>Polyethylene, high density</t>
        </is>
      </c>
      <c r="D16" s="48" t="inlineStr">
        <is>
          <t>polyethylene production, high density, granulate</t>
        </is>
      </c>
      <c r="E16" s="48" t="n">
        <v>2.95152380986867</v>
      </c>
      <c r="F16" s="48" t="inlineStr">
        <is>
          <t>kg</t>
        </is>
      </c>
      <c r="G16" s="48" t="inlineStr">
        <is>
          <t>RoW</t>
        </is>
      </c>
      <c r="H16" s="48" t="n">
        <v>0.305262105007044</v>
      </c>
      <c r="I16" s="48" t="inlineStr">
        <is>
          <t>kg</t>
        </is>
      </c>
      <c r="J16" s="48" t="inlineStr">
        <is>
          <t>RoW</t>
        </is>
      </c>
      <c r="K16" s="48" t="n">
        <v>0.0306500200795655</v>
      </c>
      <c r="L16" s="48" t="inlineStr">
        <is>
          <t>kg</t>
        </is>
      </c>
      <c r="M16" s="48" t="inlineStr">
        <is>
          <t>RoW</t>
        </is>
      </c>
      <c r="N16" s="21">
        <f>1345</f>
        <v/>
      </c>
      <c r="O16" s="48" t="inlineStr">
        <is>
          <t>SGD/t</t>
        </is>
      </c>
      <c r="P16" s="48" t="inlineStr">
        <is>
          <t>-</t>
        </is>
      </c>
      <c r="Q16" s="48" t="inlineStr">
        <is>
          <t>-</t>
        </is>
      </c>
      <c r="R16" s="48" t="inlineStr">
        <is>
          <t>Wong (2025)</t>
        </is>
      </c>
      <c r="S16" s="21" t="inlineStr">
        <is>
          <t>-</t>
        </is>
      </c>
    </row>
    <row r="17" ht="21.75" customHeight="1" s="43">
      <c r="A17" s="50" t="n"/>
      <c r="B17" s="51" t="inlineStr">
        <is>
          <t>Landfill</t>
        </is>
      </c>
      <c r="C17" s="51" t="inlineStr">
        <is>
          <t>Waste polyethylen</t>
        </is>
      </c>
      <c r="D17" s="51" t="inlineStr">
        <is>
          <t>treatment of waste polyethylene, sanitary landfill</t>
        </is>
      </c>
      <c r="E17" s="51" t="n">
        <v>0.137007985972921</v>
      </c>
      <c r="F17" s="51" t="inlineStr">
        <is>
          <t>kg</t>
        </is>
      </c>
      <c r="G17" s="51" t="inlineStr">
        <is>
          <t>RoW</t>
        </is>
      </c>
      <c r="H17" s="51" t="n">
        <v>0.00615309280903644</v>
      </c>
      <c r="I17" s="51" t="inlineStr">
        <is>
          <t>kg</t>
        </is>
      </c>
      <c r="J17" s="51" t="inlineStr">
        <is>
          <t>RoW</t>
        </is>
      </c>
      <c r="K17" s="51" t="n">
        <v>0.00289493681042509</v>
      </c>
      <c r="L17" s="51" t="inlineStr">
        <is>
          <t>kg</t>
        </is>
      </c>
      <c r="M17" s="51" t="inlineStr">
        <is>
          <t>RoW</t>
        </is>
      </c>
      <c r="N17" s="51" t="n">
        <v>20</v>
      </c>
      <c r="O17" s="51" t="inlineStr">
        <is>
          <t>SGD/t</t>
        </is>
      </c>
      <c r="P17" s="51" t="inlineStr">
        <is>
          <t>-</t>
        </is>
      </c>
      <c r="Q17" s="22" t="inlineStr">
        <is>
          <t>-</t>
        </is>
      </c>
      <c r="R17" s="51" t="inlineStr">
        <is>
          <t>Vietnam Business Council for Sustainable Development (2019)</t>
        </is>
      </c>
      <c r="S17" s="51" t="n"/>
    </row>
    <row r="18" ht="21.75" customHeight="1" s="43">
      <c r="A18" s="48" t="inlineStr">
        <is>
          <t>Textile / Leather</t>
        </is>
      </c>
      <c r="B18" s="48" t="inlineStr">
        <is>
          <t>Recycling</t>
        </is>
      </c>
      <c r="C18" s="48" t="inlineStr">
        <is>
          <t>Recycled cotton fibre</t>
        </is>
      </c>
      <c r="D18" s="48" t="inlineStr">
        <is>
          <t>recycled cotton fibre production</t>
        </is>
      </c>
      <c r="E18" s="48" t="n">
        <v>0.381</v>
      </c>
      <c r="F18" s="48" t="inlineStr">
        <is>
          <t>kg</t>
        </is>
      </c>
      <c r="G18" s="48" t="inlineStr">
        <is>
          <t>SI</t>
        </is>
      </c>
      <c r="H18" s="48" t="n">
        <v>0.105</v>
      </c>
      <c r="I18" s="48" t="inlineStr">
        <is>
          <t>kg</t>
        </is>
      </c>
      <c r="J18" s="48" t="inlineStr">
        <is>
          <t>SI</t>
        </is>
      </c>
      <c r="K18" s="48" t="n">
        <v>0.012</v>
      </c>
      <c r="L18" s="48" t="inlineStr">
        <is>
          <t>kg</t>
        </is>
      </c>
      <c r="M18" s="48" t="inlineStr">
        <is>
          <t>SI</t>
        </is>
      </c>
      <c r="N18" s="48">
        <f>4700</f>
        <v/>
      </c>
      <c r="O18" s="48" t="inlineStr">
        <is>
          <t>SGD/t</t>
        </is>
      </c>
      <c r="P18" s="18" t="n">
        <v>600000</v>
      </c>
      <c r="Q18" s="48" t="inlineStr">
        <is>
          <t>SGD</t>
        </is>
      </c>
      <c r="R18" s="48" t="inlineStr">
        <is>
          <t>Miljögiraff (2016); Marini (2024); Finmodelslab (2025)</t>
        </is>
      </c>
      <c r="S18" s="48" t="inlineStr">
        <is>
          <t>-</t>
        </is>
      </c>
    </row>
    <row r="19" ht="21.75" customHeight="1" s="43">
      <c r="A19" s="49" t="n"/>
      <c r="B19" s="51" t="inlineStr">
        <is>
          <t>Virgin production</t>
        </is>
      </c>
      <c r="C19" s="51" t="inlineStr">
        <is>
          <t>Cotton fibre</t>
        </is>
      </c>
      <c r="D19" s="51" t="inlineStr">
        <is>
          <t>fibre production, cotton, ginning</t>
        </is>
      </c>
      <c r="E19" s="51" t="n">
        <v>0.63970097246365</v>
      </c>
      <c r="F19" s="51" t="inlineStr">
        <is>
          <t>kg</t>
        </is>
      </c>
      <c r="G19" s="51" t="inlineStr">
        <is>
          <t>RoW</t>
        </is>
      </c>
      <c r="H19" s="51" t="n">
        <v>0.522967932410099</v>
      </c>
      <c r="I19" s="51" t="inlineStr">
        <is>
          <t>kg</t>
        </is>
      </c>
      <c r="J19" s="51" t="inlineStr">
        <is>
          <t>RoW</t>
        </is>
      </c>
      <c r="K19" s="51" t="n">
        <v>13.8618733414777</v>
      </c>
      <c r="L19" s="51" t="inlineStr">
        <is>
          <t>kg</t>
        </is>
      </c>
      <c r="M19" s="51" t="inlineStr">
        <is>
          <t>RoW</t>
        </is>
      </c>
      <c r="N19" s="51">
        <f>2350</f>
        <v/>
      </c>
      <c r="O19" s="51" t="inlineStr">
        <is>
          <t>SGD/t</t>
        </is>
      </c>
      <c r="P19" s="51" t="inlineStr">
        <is>
          <t>-</t>
        </is>
      </c>
      <c r="Q19" s="51" t="inlineStr">
        <is>
          <t>-</t>
        </is>
      </c>
      <c r="R19" s="51" t="inlineStr">
        <is>
          <t>imarc (2025)</t>
        </is>
      </c>
      <c r="S19" s="51" t="inlineStr">
        <is>
          <t>-</t>
        </is>
      </c>
    </row>
    <row r="20" ht="21.75" customHeight="1" s="43">
      <c r="A20" s="50" t="n"/>
      <c r="B20" s="48" t="inlineStr">
        <is>
          <t>Landfill</t>
        </is>
      </c>
      <c r="C20" s="48" t="inlineStr">
        <is>
          <t>Waste yarn and textile</t>
        </is>
      </c>
      <c r="D20" s="48" t="inlineStr">
        <is>
          <t>treatment of waste yarn and waste textile, unsanitary landfill</t>
        </is>
      </c>
      <c r="E20" s="48" t="n">
        <v>1.23923670135063</v>
      </c>
      <c r="F20" s="48" t="inlineStr">
        <is>
          <t>kg</t>
        </is>
      </c>
      <c r="G20" s="48" t="inlineStr">
        <is>
          <t>RoW</t>
        </is>
      </c>
      <c r="H20" s="48" t="n">
        <v>0.00131968056192072</v>
      </c>
      <c r="I20" s="48" t="inlineStr">
        <is>
          <t>kg</t>
        </is>
      </c>
      <c r="J20" s="48" t="inlineStr">
        <is>
          <t>RoW</t>
        </is>
      </c>
      <c r="K20" s="48" t="n">
        <v>0.00164413693650663</v>
      </c>
      <c r="L20" s="48" t="inlineStr">
        <is>
          <t>kg</t>
        </is>
      </c>
      <c r="M20" s="48" t="inlineStr">
        <is>
          <t>RoW</t>
        </is>
      </c>
      <c r="N20" s="48" t="n">
        <v>20</v>
      </c>
      <c r="O20" s="48" t="inlineStr">
        <is>
          <t>SGD/t</t>
        </is>
      </c>
      <c r="P20" s="23" t="inlineStr">
        <is>
          <t>-</t>
        </is>
      </c>
      <c r="Q20" s="23" t="inlineStr">
        <is>
          <t>-</t>
        </is>
      </c>
      <c r="R20" s="48" t="inlineStr">
        <is>
          <t>Vietnam Business Council for Sustainable Development (2019)</t>
        </is>
      </c>
      <c r="S20" s="48" t="n"/>
    </row>
  </sheetData>
  <mergeCells count="8">
    <mergeCell ref="A12:A14"/>
    <mergeCell ref="A3:A5"/>
    <mergeCell ref="A9:A11"/>
    <mergeCell ref="A15:A17"/>
    <mergeCell ref="A1:B1"/>
    <mergeCell ref="B3:B5"/>
    <mergeCell ref="A6:A8"/>
    <mergeCell ref="A18:A20"/>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E5"/>
  <sheetViews>
    <sheetView tabSelected="1" zoomScale="85" zoomScaleNormal="85" workbookViewId="0">
      <pane ySplit="2" topLeftCell="A3" activePane="bottomLeft" state="frozen"/>
      <selection pane="bottomLeft" activeCell="D8" sqref="D8"/>
    </sheetView>
  </sheetViews>
  <sheetFormatPr baseColWidth="10" defaultColWidth="8.7265625" defaultRowHeight="14.25" customHeight="1"/>
  <cols>
    <col width="28" customWidth="1" style="43" min="1" max="1"/>
    <col width="10" customWidth="1" style="43" min="2" max="2"/>
    <col width="15" customWidth="1" style="43" min="3" max="3"/>
    <col width="50" customWidth="1" style="43" min="4" max="4"/>
    <col width="62" customWidth="1" style="43" min="5" max="5"/>
  </cols>
  <sheetData>
    <row r="1" ht="42" customHeight="1" s="43">
      <c r="A1"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row>
    <row r="2" ht="21.75" customFormat="1" customHeight="1" s="24">
      <c r="A2" t="inlineStr">
        <is>
          <t>Parameter</t>
        </is>
      </c>
      <c r="B2" t="inlineStr">
        <is>
          <t>Value</t>
        </is>
      </c>
      <c r="C2" t="inlineStr">
        <is>
          <t>Unit</t>
        </is>
      </c>
      <c r="D2" t="inlineStr">
        <is>
          <t>Description</t>
        </is>
      </c>
      <c r="E2" t="inlineStr">
        <is>
          <t>Source / Rationale</t>
        </is>
      </c>
    </row>
    <row r="3" ht="25.5" customHeight="1" s="43">
      <c r="A3" t="inlineStr">
        <is>
          <t>priceVirgin</t>
        </is>
      </c>
      <c r="B3" t="n">
        <v>1345</v>
      </c>
      <c r="C3" t="inlineStr">
        <is>
          <t>SGD/t</t>
        </is>
      </c>
      <c r="D3" t="inlineStr">
        <is>
          <t>Default virgin price (plastic); per-material in Materials sheet</t>
        </is>
      </c>
      <c r="E3" t="inlineStr">
        <is>
          <t>Default fallback value = plastic proxy (HDPE). Per-material virgin prices are in the Materials sheet (PriceVirgin_SGD_t column). ILLUSTRATIVE.</t>
        </is>
      </c>
    </row>
    <row r="4" ht="25.5" customHeight="1" s="43">
      <c r="A4" t="inlineStr">
        <is>
          <t>costLandfill</t>
        </is>
      </c>
      <c r="B4" t="n">
        <v>20</v>
      </c>
      <c r="C4" t="inlineStr">
        <is>
          <t>SGD/t</t>
        </is>
      </c>
      <c r="D4" t="inlineStr">
        <is>
          <t>Landfill disposal cost per tonne</t>
        </is>
      </c>
      <c r="E4" t="inlineStr">
        <is>
          <t>20 SGD/t ≈ USD 15/t disposal fee. Proxy for Vietnam industrial solid waste landfill tipping fee. Actual fees vary by province; no VSIP1 contract data available. ILLUSTRATIVE.</t>
        </is>
      </c>
    </row>
    <row r="5">
      <c r="A5" t="inlineStr">
        <is>
          <t>gateFeePerTruck_SGD</t>
        </is>
      </c>
      <c r="B5" s="66" t="n">
        <v>4</v>
      </c>
      <c r="C5" t="inlineStr">
        <is>
          <t>SGD/trip</t>
        </is>
      </c>
      <c r="D5" t="inlineStr">
        <is>
          <t>Fixed gate/weighbridge fee per truck visit to BIWASE. Covers site entry, weighbridge weighing, administration. Charged once per truck delivery regardless of cargo weight.</t>
        </is>
      </c>
      <c r="E5" t="inlineStr">
        <is>
          <t>BIWASE PDF (ESCAR ADB 56118-001, Nov 2022), p.13: weighbridge fee at gate confirmed. Range 50,000–150,000 VND/visit (≈ 2–6 SGD). Default 4 SGD = ~100,000 VND. ILLUSTRATIVE.</t>
        </is>
      </c>
    </row>
    <row r="7" ht="25.5" customHeight="1" s="43"/>
    <row r="8" ht="25.5" customHeight="1" s="43"/>
    <row r="9" ht="25.5" customHeight="1" s="43"/>
    <row r="10" ht="25.5" customHeight="1" s="43"/>
    <row r="11" ht="45" customHeight="1" s="43"/>
    <row r="12" ht="45" customHeight="1" s="43"/>
    <row r="13" ht="45" customHeight="1" s="43"/>
    <row r="14" ht="45" customHeight="1" s="43"/>
    <row r="15" ht="45" customHeight="1" s="43"/>
    <row r="16" ht="45" customHeight="1" s="43"/>
    <row r="17" ht="45" customHeight="1" s="43"/>
    <row r="18" ht="45" customHeight="1" s="43"/>
    <row r="19" ht="45" customHeight="1" s="43"/>
  </sheetData>
  <mergeCells count="1">
    <mergeCell ref="A1:E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zoomScaleNormal="100" workbookViewId="0">
      <pane ySplit="2" topLeftCell="A3" activePane="bottomLeft" state="frozen"/>
      <selection activeCell="E1" sqref="E1"/>
      <selection pane="bottomLeft" activeCell="B2" sqref="B2"/>
    </sheetView>
  </sheetViews>
  <sheetFormatPr baseColWidth="10" defaultColWidth="8.7265625" defaultRowHeight="14.25" customHeight="1"/>
  <cols>
    <col width="20" customWidth="1" style="43" min="1" max="8"/>
    <col width="15" customWidth="1" style="43" min="2" max="2"/>
    <col width="15" customWidth="1" style="43" min="3" max="3"/>
    <col width="28" customWidth="1" style="43" min="4" max="4"/>
    <col width="28" customWidth="1" style="43" min="5" max="5"/>
    <col width="28" customWidth="1" style="43" min="6" max="6"/>
    <col width="28" customWidth="1" style="43" min="7" max="7"/>
    <col width="28" customWidth="1" style="43" min="8" max="8"/>
    <col width="18" customWidth="1" style="43" min="9" max="9"/>
    <col width="20" customWidth="1" style="43" min="10" max="10"/>
    <col width="18" customWidth="1" style="43" min="11" max="11"/>
    <col width="50" customWidth="1" style="43" min="12" max="12"/>
  </cols>
  <sheetData>
    <row r="1" ht="42" customHeight="1" s="43">
      <c r="A1" s="54"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c r="B1" s="55" t="n"/>
      <c r="C1" s="55" t="n"/>
      <c r="D1" s="55" t="n"/>
      <c r="E1" s="55" t="n"/>
      <c r="F1" s="55" t="n"/>
      <c r="G1" s="55" t="n"/>
      <c r="H1" s="55" t="n"/>
      <c r="I1" s="55" t="n"/>
      <c r="J1" s="53" t="n"/>
    </row>
    <row r="2" ht="45" customHeight="1" s="43">
      <c r="A2" s="60" t="inlineStr">
        <is>
          <t>TruckVelocity_kmh</t>
        </is>
      </c>
      <c r="B2" s="60" t="inlineStr">
        <is>
          <t>LoadingTime_h</t>
        </is>
      </c>
      <c r="C2" s="60" t="inlineStr">
        <is>
          <t>UnloadingTime_h</t>
        </is>
      </c>
      <c r="D2" s="60" t="inlineStr">
        <is>
          <t>TruckCapacityPerMat_PLASTIC_t</t>
        </is>
      </c>
      <c r="E2" s="60" t="inlineStr">
        <is>
          <t>TruckCapacityPerMat_PAPER_t</t>
        </is>
      </c>
      <c r="F2" s="60" t="inlineStr">
        <is>
          <t>TruckCapacityPerMat_FERROUS_t</t>
        </is>
      </c>
      <c r="G2" s="60" t="inlineStr">
        <is>
          <t>TruckCapacityPerMat_TEXTILE_t</t>
        </is>
      </c>
      <c r="H2" s="60" t="inlineStr">
        <is>
          <t>TruckCapacityPerMat_NONFERROUS_t</t>
        </is>
      </c>
      <c r="I2" s="60" t="inlineStr">
        <is>
          <t>JollyTruckCount</t>
        </is>
      </c>
      <c r="J2" s="60" t="inlineStr">
        <is>
          <t>JollyPremiumFactor</t>
        </is>
      </c>
      <c r="K2" s="58" t="inlineStr">
        <is>
          <t>TruckCapex_SGD</t>
        </is>
      </c>
      <c r="L2" s="58" t="inlineStr">
        <is>
          <t>Source_capacity</t>
        </is>
      </c>
      <c r="M2" s="61" t="n"/>
      <c r="N2" s="61" t="n"/>
    </row>
    <row r="3" ht="80" customHeight="1" s="43">
      <c r="A3" s="62" t="n">
        <v>60</v>
      </c>
      <c r="B3" s="62" t="n">
        <v>2</v>
      </c>
      <c r="C3" s="62" t="n">
        <v>2</v>
      </c>
      <c r="D3" s="62" t="n">
        <v>4</v>
      </c>
      <c r="E3" s="62" t="n">
        <v>1.5</v>
      </c>
      <c r="F3" s="62" t="n">
        <v>9</v>
      </c>
      <c r="G3" s="62" t="n">
        <v>2</v>
      </c>
      <c r="H3" s="62" t="n">
        <v>8</v>
      </c>
      <c r="I3" s="62" t="n">
        <v>10</v>
      </c>
      <c r="J3" s="62" t="n">
        <v>1.3</v>
      </c>
      <c r="K3" s="63" t="n">
        <v>30000</v>
      </c>
      <c r="L3" s="64" t="inlineStr">
        <is>
          <t>WRAP (2022) Baling guidance; EPA (2016) Waste Characterisation Report; Illustrative</t>
        </is>
      </c>
      <c r="M3" s="61" t="n"/>
      <c r="N3" s="61" t="n"/>
    </row>
    <row r="4" ht="27.75" customHeight="1" s="43">
      <c r="A4" s="65" t="n"/>
      <c r="B4" s="65" t="n"/>
      <c r="C4" s="65" t="n"/>
      <c r="D4" s="65" t="n"/>
      <c r="E4" s="65" t="n"/>
      <c r="F4" s="65" t="n"/>
      <c r="G4" s="65" t="n"/>
      <c r="H4" s="65" t="n"/>
      <c r="I4" s="65" t="n"/>
      <c r="J4" s="65" t="n"/>
      <c r="K4" s="61" t="n"/>
      <c r="L4" s="61" t="n"/>
      <c r="M4" s="61" t="n"/>
      <c r="N4" s="61" t="n"/>
    </row>
    <row r="5" ht="25.5" customHeight="1" s="43">
      <c r="A5" s="65" t="n"/>
      <c r="B5" s="65" t="n"/>
      <c r="C5" s="65" t="n"/>
      <c r="D5" s="65" t="n"/>
      <c r="E5" s="65" t="n"/>
      <c r="F5" s="61" t="n"/>
      <c r="G5" s="61" t="n"/>
      <c r="H5" s="61" t="n"/>
      <c r="I5" s="61" t="n"/>
      <c r="J5" s="61" t="n"/>
      <c r="K5" s="61" t="n"/>
      <c r="L5" s="61" t="n"/>
      <c r="M5" s="61" t="n"/>
      <c r="N5" s="61" t="n"/>
    </row>
    <row r="6">
      <c r="A6" s="61" t="n"/>
      <c r="B6" s="61" t="n"/>
      <c r="C6" s="61" t="n"/>
      <c r="D6" s="61" t="n"/>
      <c r="E6" s="61" t="n"/>
      <c r="F6" s="61" t="n"/>
      <c r="G6" s="61" t="n"/>
      <c r="H6" s="61" t="n"/>
      <c r="I6" s="61" t="n"/>
      <c r="J6" s="61" t="n"/>
      <c r="K6" s="61" t="n"/>
      <c r="L6" s="61" t="n"/>
      <c r="M6" s="61" t="n"/>
      <c r="N6" s="61" t="n"/>
    </row>
    <row r="7">
      <c r="A7" s="61" t="n"/>
      <c r="B7" s="61" t="n"/>
      <c r="C7" s="61" t="n"/>
      <c r="D7" s="61" t="n"/>
      <c r="E7" s="61" t="n"/>
      <c r="F7" s="61" t="n"/>
      <c r="G7" s="61" t="n"/>
      <c r="H7" s="61" t="n"/>
      <c r="I7" s="61" t="n"/>
      <c r="J7" s="61" t="n"/>
      <c r="K7" s="61" t="n"/>
      <c r="L7" s="61" t="n"/>
      <c r="M7" s="61" t="n"/>
      <c r="N7" s="61" t="n"/>
    </row>
    <row r="8">
      <c r="A8" s="61" t="n"/>
      <c r="B8" s="61" t="n"/>
      <c r="C8" s="61" t="n"/>
      <c r="D8" s="61" t="n"/>
      <c r="E8" s="61" t="n"/>
      <c r="F8" s="61" t="n"/>
      <c r="G8" s="61" t="n"/>
      <c r="H8" s="61" t="n"/>
      <c r="I8" s="61" t="n"/>
      <c r="J8" s="61" t="n"/>
      <c r="K8" s="61" t="n"/>
      <c r="L8" s="61" t="n"/>
      <c r="M8" s="61" t="n"/>
      <c r="N8" s="61" t="n"/>
    </row>
    <row r="9">
      <c r="A9" s="61" t="n"/>
      <c r="B9" s="61" t="n"/>
      <c r="C9" s="61" t="n"/>
      <c r="D9" s="61" t="n"/>
      <c r="E9" s="61" t="n"/>
      <c r="F9" s="61" t="n"/>
      <c r="G9" s="61" t="n"/>
      <c r="H9" s="61" t="n"/>
      <c r="I9" s="61" t="n"/>
      <c r="J9" s="61" t="n"/>
      <c r="K9" s="61" t="n"/>
      <c r="L9" s="61" t="n"/>
      <c r="M9" s="61" t="n"/>
      <c r="N9" s="61" t="n"/>
    </row>
  </sheetData>
  <mergeCells count="1">
    <mergeCell ref="A1:J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E11"/>
  <sheetViews>
    <sheetView zoomScaleNormal="100" workbookViewId="0">
      <pane ySplit="2" topLeftCell="A3" activePane="bottomLeft" state="frozen"/>
      <selection activeCell="E17" sqref="E17"/>
      <selection pane="bottomLeft" activeCell="B6" sqref="B6"/>
    </sheetView>
  </sheetViews>
  <sheetFormatPr baseColWidth="10" defaultColWidth="8.7265625" defaultRowHeight="14.25" customHeight="1"/>
  <cols>
    <col width="28" customWidth="1" style="43" min="1" max="1"/>
    <col width="10" customWidth="1" style="43" min="2" max="3"/>
    <col width="135" bestFit="1" customWidth="1" style="43" min="4" max="4"/>
    <col width="62" customWidth="1" style="43" min="5" max="5"/>
  </cols>
  <sheetData>
    <row r="1" ht="42" customHeight="1" s="43">
      <c r="A1" s="54"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c r="B1" s="55" t="n"/>
      <c r="C1" s="55" t="n"/>
      <c r="D1" s="55" t="n"/>
      <c r="E1" s="53" t="n"/>
    </row>
    <row r="2" ht="14.5" customHeight="1" s="43">
      <c r="A2" s="1" t="inlineStr">
        <is>
          <t>Parameter</t>
        </is>
      </c>
      <c r="B2" s="1" t="inlineStr">
        <is>
          <t>Value</t>
        </is>
      </c>
      <c r="C2" s="1" t="inlineStr">
        <is>
          <t>Unit</t>
        </is>
      </c>
      <c r="D2" s="1" t="inlineStr">
        <is>
          <t>Description</t>
        </is>
      </c>
      <c r="E2" s="1" t="inlineStr">
        <is>
          <t>Source / Rationale</t>
        </is>
      </c>
    </row>
    <row r="3" ht="27.75" customHeight="1" s="43">
      <c r="A3" s="3" t="inlineStr">
        <is>
          <t>totalStorageCapacity</t>
        </is>
      </c>
      <c r="B3" s="39" t="n">
        <v>5000</v>
      </c>
      <c r="C3" s="3" t="inlineStr">
        <is>
          <t>tonnes</t>
        </is>
      </c>
      <c r="D3" s="3" t="inlineStr">
        <is>
          <t>Total storage capacity across all materials</t>
        </is>
      </c>
      <c r="E3" s="12" t="inlineStr">
        <is>
          <t>Model assumption. 82 providers × avg ~5 t/week ≈ 2,100 t/week theoretical peak intake; 5,000 t total provides roughly a 2–3 week buffer. No empirical benchmark from VSIP1. Scale consistent with medium-scale IS hubs discussed in Chertow (2007) 'Uncovering Industrial Symbiosis', J. Ind. Ecology. ILLUSTRATIVE EXAMPLE.</t>
        </is>
      </c>
    </row>
    <row r="4" ht="27.75" customHeight="1" s="43">
      <c r="A4" s="6" t="inlineStr">
        <is>
          <t>tier1Pct</t>
        </is>
      </c>
      <c r="B4" s="40" t="n">
        <v>0.12</v>
      </c>
      <c r="C4" s="6" t="inlineStr">
        <is>
          <t>-</t>
        </is>
      </c>
      <c r="D4" s="6" t="inlineStr">
        <is>
          <t>12% per material = 60% total guaranteed (5 materials)</t>
        </is>
      </c>
      <c r="E4" s="14" t="inlineStr">
        <is>
          <t>Design parameter: 12% dedicated per material × 5 materials = 60% of total capacity reserved as Tier 1 buffers. Ensures every material stream has a guaranteed minimum slot regardless of overall occupancy. Inspired by two-tier IS storage allocation in Branker et al. (2014). No VSIP1 data. ILLUSTRATIVE EXAMPLE.</t>
        </is>
      </c>
    </row>
    <row r="5" ht="27.75" customHeight="1" s="43">
      <c r="A5" s="3" t="inlineStr">
        <is>
          <t>Tier2_FlexiblePct</t>
        </is>
      </c>
      <c r="B5" s="3" t="n">
        <v>0.4</v>
      </c>
      <c r="C5" s="3" t="inlineStr">
        <is>
          <t>-</t>
        </is>
      </c>
      <c r="D5" s="3" t="inlineStr">
        <is>
          <t>40% shared flexible pool (first-come-first-served)</t>
        </is>
      </c>
      <c r="E5" s="12" t="inlineStr">
        <is>
          <t>Design parameter: 40% of total capacity forms a shared flexible pool, allocated first-come-first-served across all materials. Enables efficient use of spare capacity. Based on multi-commodity shared storage principles in IS network literature. ILLUSTRATIVE EXAMPLE.</t>
        </is>
      </c>
    </row>
    <row r="6" ht="27.75" customHeight="1" s="43">
      <c r="A6" s="6" t="inlineStr">
        <is>
          <t>ProcessingRate_tDay</t>
        </is>
      </c>
      <c r="B6" s="6" t="n">
        <v>50</v>
      </c>
      <c r="C6" s="6" t="inlineStr">
        <is>
          <t>t/day</t>
        </is>
      </c>
      <c r="D6" s="6" t="inlineStr">
        <is>
          <t>Daily processing throughput</t>
        </is>
      </c>
      <c r="E6" s="14" t="inlineStr">
        <is>
          <t>50 t/day ≈ 350 t/week. Sized at ~17% of theoretical max weekly intake (82 providers). Representative of a medium-scale industrial sorting + baling + shredding facility. No vendor quotation or VSIP1 facility data. ILLUSTRATIVE EXAMPLE.</t>
        </is>
      </c>
    </row>
    <row r="7" ht="14.5" customFormat="1" customHeight="1" s="3">
      <c r="A7" s="3" t="inlineStr">
        <is>
          <t>capexPerStorageUnit</t>
        </is>
      </c>
      <c r="B7" s="39" t="n">
        <v>100</v>
      </c>
      <c r="C7" s="3" t="inlineStr">
        <is>
          <t>SGD/t</t>
        </is>
      </c>
      <c r="D7" s="3" t="inlineStr">
        <is>
          <t>Capital cost per tonne of storage capacity (Intermediate recycling hub only). Moved from Baseline sheet — belongs to Intermediate infrastructure.</t>
        </is>
      </c>
      <c r="E7" s="3" t="inlineStr">
        <is>
          <t>100 SGD/t ≈ USD 74/t for industrial warehouse/yard construction. Generic proxy; not based on vendor quotation or VSIP1 facility data. ILLUSTRATIVE.</t>
        </is>
      </c>
    </row>
    <row r="8" ht="27.75" customHeight="1" s="43">
      <c r="A8" s="6" t="inlineStr">
        <is>
          <t>opexPerStorageUnitPerMonth</t>
        </is>
      </c>
      <c r="B8" s="40" t="n">
        <v>2</v>
      </c>
      <c r="C8" s="6" t="inlineStr">
        <is>
          <t>SGD/(t*month)</t>
        </is>
      </c>
      <c r="D8" s="6" t="inlineStr">
        <is>
          <t>Monthly operating cost per tonne of capacity actually in use (variable-cost model). Covers labour, utilities, maintenance, insurance. Moved from Baseline sheet.</t>
        </is>
      </c>
      <c r="E8" s="14" t="inlineStr">
        <is>
          <t>2 SGD/(t·month) ≈ 2.4% of CAPEX/year. Generic industrial storage estimate. ILLUSTRATIVE.</t>
        </is>
      </c>
    </row>
    <row r="9" ht="14.5" customFormat="1" customHeight="1" s="3">
      <c r="A9" s="3" t="inlineStr">
        <is>
          <t>salvageValuePercent</t>
        </is>
      </c>
      <c r="B9" s="39" t="n">
        <v>0.1</v>
      </c>
      <c r="C9" s="3" t="inlineStr">
        <is>
          <t>-</t>
        </is>
      </c>
      <c r="D9" s="3" t="inlineStr">
        <is>
          <t>Residual value of Intermediate storage infrastructure at end of 10-year horizon (fraction of total CAPEX). Moved from Baseline sheet.</t>
        </is>
      </c>
      <c r="E9" s="3" t="inlineStr">
        <is>
          <t>10% residual value. Generic assumption for industrial equipment salvage. ILLUSTRATIVE.</t>
        </is>
      </c>
    </row>
    <row r="10" ht="27.75" customHeight="1" s="43">
      <c r="A10" s="6" t="inlineStr">
        <is>
          <t>discountRate</t>
        </is>
      </c>
      <c r="B10" s="40" t="n">
        <v>0.08</v>
      </c>
      <c r="C10" s="6" t="inlineStr">
        <is>
          <t>-</t>
        </is>
      </c>
      <c r="D10" s="6" t="inlineStr">
        <is>
          <t>Annual discount rate for NPV</t>
        </is>
      </c>
      <c r="E10" s="14" t="inlineStr">
        <is>
          <t>8% real annual discount rate. Consistent with SE Asia infrastructure and industrial investment benchmarks (ADB project evaluations, World Bank discount rate guidance for developing economies). ILLUSTRATIVE.</t>
        </is>
      </c>
    </row>
    <row r="11">
      <c r="A11" t="inlineStr">
        <is>
          <t>burningThreshold_t</t>
        </is>
      </c>
      <c r="B11" s="66" t="n">
        <v>20</v>
      </c>
      <c r="C11" t="inlineStr">
        <is>
          <t>t</t>
        </is>
      </c>
      <c r="D11" t="inlineStr">
        <is>
          <t>Total accumulated waste mass threshold (across all materials) at BIWASE that triggers a batch incineration event. Set per simulation batch-run; 20 t ≈ ~4 h at 5,200 kg/h non-hazardous incinerator capacity.</t>
        </is>
      </c>
      <c r="E11" t="inlineStr">
        <is>
          <t>BIWASE capacity: non-hazardous industrial waste incinerators = 1,000 + 4,200 kg/h = 5,200 kg/h (ESCAR ADB 56118-001, p.14). 20 t ≈ 3.85 h of continuous operation. Realistic trigger for batch simulation. ILLUSTRATIVE.</t>
        </is>
      </c>
    </row>
  </sheetData>
  <mergeCells count="1">
    <mergeCell ref="A1:E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10"/>
  <sheetViews>
    <sheetView zoomScaleNormal="100" workbookViewId="0">
      <pane ySplit="3" topLeftCell="A4" activePane="bottomLeft" state="frozen"/>
      <selection pane="bottomLeft" activeCell="A1" sqref="A1:G1"/>
    </sheetView>
  </sheetViews>
  <sheetFormatPr baseColWidth="10" defaultColWidth="8.6328125" defaultRowHeight="15" customHeight="1"/>
  <cols>
    <col width="8" customWidth="1" style="43" min="1" max="1"/>
    <col width="22" customWidth="1" style="43" min="2" max="2"/>
    <col width="30" customWidth="1" style="43" min="3" max="3"/>
    <col width="14" customWidth="1" style="43" min="4" max="5"/>
    <col width="20" customWidth="1" style="43" min="6" max="6"/>
    <col width="55" customWidth="1" style="43" min="7" max="7"/>
  </cols>
  <sheetData>
    <row r="1" ht="19.5" customHeight="1" s="43">
      <c r="A1" s="57" t="inlineStr">
        <is>
          <t>Secondary / Recycled Material Market Prices — Vietnam &amp; SE Asia (2024–2025)</t>
        </is>
      </c>
      <c r="B1" s="55" t="n"/>
      <c r="C1" s="55" t="n"/>
      <c r="D1" s="55" t="n"/>
      <c r="E1" s="55" t="n"/>
      <c r="F1" s="55" t="n"/>
      <c r="G1" s="53" t="n"/>
    </row>
    <row r="2" ht="19.5" customHeight="1" s="43">
      <c r="A2" s="56" t="inlineStr">
        <is>
          <t>Prices reflect secondary recovered material sold from the Intermediate agent to Receiver agents in the IS network. Linked to Materials sheet col S (PriceSecondary_USD_t). All prices USD/t; year 2024–2025. SGD conversion: 1 USD = 1.35 SGD.</t>
        </is>
      </c>
      <c r="B2" s="55" t="n"/>
      <c r="C2" s="55" t="n"/>
      <c r="D2" s="55" t="n"/>
      <c r="E2" s="55" t="n"/>
      <c r="F2" s="55" t="n"/>
      <c r="G2" s="53" t="n"/>
    </row>
    <row r="3" ht="21.75" customHeight="1" s="43">
      <c r="A3" s="1" t="inlineStr">
        <is>
          <t>Index</t>
        </is>
      </c>
      <c r="B3" s="1" t="inlineStr">
        <is>
          <t>Material (AnyLogic)</t>
        </is>
      </c>
      <c r="C3" s="1" t="inlineStr">
        <is>
          <t>Secondary Description</t>
        </is>
      </c>
      <c r="D3" s="1" t="inlineStr">
        <is>
          <t>Price (USD/t)</t>
        </is>
      </c>
      <c r="E3" s="1" t="inlineStr">
        <is>
          <t>Price (SGD/t)</t>
        </is>
      </c>
      <c r="F3" s="1" t="inlineStr">
        <is>
          <t>Region</t>
        </is>
      </c>
      <c r="G3" s="1" t="inlineStr">
        <is>
          <t>Source</t>
        </is>
      </c>
    </row>
    <row r="4" ht="21.75" customHeight="1" s="43">
      <c r="A4" s="26" t="n">
        <v>0</v>
      </c>
      <c r="B4" s="27" t="inlineStr">
        <is>
          <t>PLASTIC_SCRAP</t>
        </is>
      </c>
      <c r="C4" s="26" t="inlineStr">
        <is>
          <t>Recycled HDPE / mixed plastic pellets</t>
        </is>
      </c>
      <c r="D4" s="26" t="n">
        <v>750</v>
      </c>
      <c r="E4" s="26" t="n">
        <v>1012.5</v>
      </c>
      <c r="F4" s="28" t="inlineStr">
        <is>
          <t>China / SE Asia import</t>
        </is>
      </c>
      <c r="G4" s="11" t="inlineStr">
        <is>
          <t>S&amp;P Global Platts (2024) Asia Recycled HDPE; Dec 2024: USD 655–967/MT (China); SE Asia proxy USD 750/t. procurementresource.com/resource-center/recycled-hdpe-price-trends</t>
        </is>
      </c>
    </row>
    <row r="5" ht="21.75" customHeight="1" s="43">
      <c r="A5" s="29" t="n">
        <v>1</v>
      </c>
      <c r="B5" s="30" t="inlineStr">
        <is>
          <t>PAPER_WASTE</t>
        </is>
      </c>
      <c r="C5" s="29" t="inlineStr">
        <is>
          <t>Recycled OCC / Old Corrugated Cardboard</t>
        </is>
      </c>
      <c r="D5" s="29" t="n">
        <v>215</v>
      </c>
      <c r="E5" s="29" t="n">
        <v>290.25</v>
      </c>
      <c r="F5" s="31" t="inlineStr">
        <is>
          <t>SE Asia (Vietnam / Thailand mills)</t>
        </is>
      </c>
      <c r="G5" s="13" t="inlineStr">
        <is>
          <t>Fastmarkets (2024) Recycled Board Prices SE Asia Q2–Q3: USD 210–225/MT to regional mills incl. Vietnam. fastmarkets.com/insights/recycled-board-prices-in-southeast-asia-show-slight-upticks-in-late-q2/</t>
        </is>
      </c>
    </row>
    <row r="6" ht="21.75" customHeight="1" s="43">
      <c r="A6" s="26" t="n">
        <v>2</v>
      </c>
      <c r="B6" s="27" t="inlineStr">
        <is>
          <t>FERROUS_METAL</t>
        </is>
      </c>
      <c r="C6" s="26" t="inlineStr">
        <is>
          <t>Ferrous scrap / HMS 1&amp;2 (industrial)</t>
        </is>
      </c>
      <c r="D6" s="26" t="n">
        <v>355</v>
      </c>
      <c r="E6" s="26" t="n">
        <v>479.25</v>
      </c>
      <c r="F6" s="28" t="inlineStr">
        <is>
          <t>Vietnam domestic / CFR import</t>
        </is>
      </c>
      <c r="G6" s="11" t="inlineStr">
        <is>
          <t>S&amp;P Global Commodity Insights (Nov 2024): Vietnam domestic scrap USD 343–367/MT; HMS 1&amp;2 CFR USD 355/MT. spglobal.com/commodity-insights/en/news-research/latest-news/metals/112824-vietnam-domestic-scrap-prices</t>
        </is>
      </c>
    </row>
    <row r="7" ht="21.75" customHeight="1" s="43">
      <c r="A7" s="29" t="n">
        <v>3</v>
      </c>
      <c r="B7" s="30" t="inlineStr">
        <is>
          <t>TEXTILE_WASTE</t>
        </is>
      </c>
      <c r="C7" s="29" t="inlineStr">
        <is>
          <t>Recycled cotton / textile fibres (pre-consumer)</t>
        </is>
      </c>
      <c r="D7" s="29" t="n">
        <v>200</v>
      </c>
      <c r="E7" s="29" t="n">
        <v>270</v>
      </c>
      <c r="F7" s="31" t="inlineStr">
        <is>
          <t>SE Asia / global (lit. estimate)</t>
        </is>
      </c>
      <c r="G7" s="13" t="inlineStr">
        <is>
          <t>IMARC Group (2024) Vietnam Textile Recycling Market (~USD 150–250/t range); Ellen MacArthur Foundation (2017). USD 200/t adopted as mid-range. imarcgroup.com/vietnam-textile-recycling-market</t>
        </is>
      </c>
    </row>
    <row r="8" ht="21.75" customHeight="1" s="43">
      <c r="A8" s="26" t="n">
        <v>4</v>
      </c>
      <c r="B8" s="27" t="inlineStr">
        <is>
          <t>NON_FERROUS_METAL</t>
        </is>
      </c>
      <c r="C8" s="26" t="inlineStr">
        <is>
          <t>Recycled aluminium scrap / borings &amp; turnings</t>
        </is>
      </c>
      <c r="D8" s="26" t="n">
        <v>1750</v>
      </c>
      <c r="E8" s="26" t="n">
        <v>2362.5</v>
      </c>
      <c r="F8" s="28" t="inlineStr">
        <is>
          <t>SE Asia CIF import</t>
        </is>
      </c>
      <c r="G8" s="11" t="inlineStr">
        <is>
          <t>Fastmarkets (Mar 2025): SE Asia Al Scrap Borings &amp; Turnings USD 1,720–1,820/MT CIF; mid-point USD 1,750/t. fastmarkets.com/insights/southeast-asia-aluminium-scrap-prices-import-trends/</t>
        </is>
      </c>
    </row>
    <row r="9" ht="21.75" customHeight="1" s="43">
      <c r="A9" s="32" t="inlineStr">
        <is>
          <t>AnyLogic reads these prices at startup via: secondaryPricePerMat[m] = Input_data.getCellNumericValue("Materials", m+2, 19); // col 19 = S = PriceSecondary_USD_t</t>
        </is>
      </c>
      <c r="B9" s="7" t="n"/>
      <c r="C9" s="7" t="n"/>
      <c r="D9" s="7" t="n"/>
      <c r="E9" s="7" t="n"/>
      <c r="F9" s="7" t="n"/>
      <c r="G9" s="7" t="n"/>
    </row>
    <row r="10" ht="27.75" customHeight="1" s="43"/>
  </sheetData>
  <mergeCells count="3">
    <mergeCell ref="A2:G2"/>
    <mergeCell ref="A1:G1"/>
    <mergeCell ref="A10:G10"/>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8"/>
  <sheetViews>
    <sheetView zoomScaleNormal="100" workbookViewId="0">
      <pane ySplit="1" topLeftCell="A2" activePane="bottomLeft" state="frozen"/>
      <selection activeCell="E17" sqref="E17"/>
      <selection pane="bottomLeft" activeCell="E17" sqref="E17"/>
    </sheetView>
  </sheetViews>
  <sheetFormatPr baseColWidth="10" defaultColWidth="8.7265625" defaultRowHeight="14.25" customHeight="1"/>
  <cols>
    <col width="14" customWidth="1" style="43" min="1" max="1"/>
    <col width="60" customWidth="1" style="43" min="2" max="2"/>
    <col width="10" customWidth="1" style="43" min="3" max="3"/>
    <col width="8" customWidth="1" style="43" min="4" max="4"/>
    <col width="14" customWidth="1" style="43" min="5" max="5"/>
    <col width="60" customWidth="1" style="43" min="6" max="6"/>
  </cols>
  <sheetData>
    <row r="1" ht="21.75" customHeight="1" s="43">
      <c r="A1" s="1" t="inlineStr">
        <is>
          <t>Date Created</t>
        </is>
      </c>
      <c r="B1" s="1" t="inlineStr">
        <is>
          <t>Task</t>
        </is>
      </c>
      <c r="C1" s="1" t="inlineStr">
        <is>
          <t>Priority</t>
        </is>
      </c>
      <c r="D1" s="1" t="inlineStr">
        <is>
          <t>Done</t>
        </is>
      </c>
      <c r="E1" s="1" t="inlineStr">
        <is>
          <t>Date Completed</t>
        </is>
      </c>
      <c r="F1" s="1" t="inlineStr">
        <is>
          <t>Notes</t>
        </is>
      </c>
    </row>
    <row r="2" ht="21.75" customHeight="1" s="43">
      <c r="A2" s="2" t="inlineStr">
        <is>
          <t>2026-03-15</t>
        </is>
      </c>
      <c r="B2" s="2" t="inlineStr">
        <is>
          <t>Change LCA and costs arrays from arrays within AnyLogic to database tables uploaded from Excel</t>
        </is>
      </c>
      <c r="C2" s="2" t="inlineStr">
        <is>
          <t>High</t>
        </is>
      </c>
      <c r="D2" s="25" t="inlineStr">
        <is>
          <t>Partial</t>
        </is>
      </c>
      <c r="E2" s="2" t="n"/>
      <c r="F2" s="2" t="inlineStr">
        <is>
          <t>Currently hardcoded in AdditionalClassCode as Java arrays. Should be loaded from Materials sheet or emissionFactors sheet via database tables. | 2026-03-16: SecondaryPrices (PriceSecondary_USD_t) now in Materials sheet col S; loaded at startup via getCellNumericValue.</t>
        </is>
      </c>
    </row>
    <row r="3" ht="21.75" customHeight="1" s="43">
      <c r="A3" s="5" t="inlineStr">
        <is>
          <t>2026-03-15</t>
        </is>
      </c>
      <c r="B3" s="5" t="inlineStr">
        <is>
          <t>Verify all 82 provider coordinates match Finneiss database exactly</t>
        </is>
      </c>
      <c r="C3" s="5" t="inlineStr">
        <is>
          <t>High</t>
        </is>
      </c>
      <c r="D3" s="5" t="inlineStr">
        <is>
          <t>No</t>
        </is>
      </c>
      <c r="E3" s="5" t="n"/>
      <c r="F3" s="5" t="inlineStr">
        <is>
          <t>Some coordinates may have been rounded or slightly modified. Cross-check with 250509_Database_Model.xlsx ManufacturerProvider sheet.</t>
        </is>
      </c>
    </row>
    <row r="4" ht="21.75" customHeight="1" s="43">
      <c r="A4" s="2" t="inlineStr">
        <is>
          <t>2026-03-15</t>
        </is>
      </c>
      <c r="B4" s="2" t="inlineStr">
        <is>
          <t>Add missing coordinates for VNTT, NATIONAL STARCH, LOTTERIA, AVERY DENNISON</t>
        </is>
      </c>
      <c r="C4" s="2" t="inlineStr">
        <is>
          <t>Medium</t>
        </is>
      </c>
      <c r="D4" s="2" t="inlineStr">
        <is>
          <t>No</t>
        </is>
      </c>
      <c r="E4" s="2" t="n"/>
      <c r="F4" s="2" t="inlineStr">
        <is>
          <t>These 4 companies currently have (0,0) coordinates. Need manual lookup or estimation.</t>
        </is>
      </c>
    </row>
    <row r="5" ht="21.75" customHeight="1" s="43">
      <c r="A5" s="5" t="inlineStr">
        <is>
          <t>2026-03-15</t>
        </is>
      </c>
      <c r="B5" s="5" t="inlineStr">
        <is>
          <t>Validate Receiver agent locations and demand values against literature</t>
        </is>
      </c>
      <c r="C5" s="5" t="inlineStr">
        <is>
          <t>Medium</t>
        </is>
      </c>
      <c r="D5" s="5" t="inlineStr">
        <is>
          <t>No</t>
        </is>
      </c>
      <c r="E5" s="5" t="n"/>
      <c r="F5" s="5" t="inlineStr">
        <is>
          <t>Currently hypothetical values. Need industrial ecology data for VSIP1 demand.</t>
        </is>
      </c>
    </row>
    <row r="6" ht="21.75" customHeight="1" s="43">
      <c r="A6" s="2" t="inlineStr">
        <is>
          <t>2026-03-15</t>
        </is>
      </c>
      <c r="B6" s="2" t="inlineStr">
        <is>
          <t>Remove duplicate company entries (DERHAO, ESQUEL, SG KNITWEAR, APM SPRINGS, etc.)</t>
        </is>
      </c>
      <c r="C6" s="2" t="inlineStr">
        <is>
          <t>Medium</t>
        </is>
      </c>
      <c r="D6" s="2" t="inlineStr">
        <is>
          <t>No</t>
        </is>
      </c>
      <c r="E6" s="2" t="n"/>
      <c r="F6" s="2" t="inlineStr">
        <is>
          <t>Some companies appear twice with same material. Verify if intentional (multiple waste streams) or data error.</t>
        </is>
      </c>
    </row>
    <row r="7" ht="21.75" customHeight="1" s="43">
      <c r="A7" s="5" t="inlineStr">
        <is>
          <t>2026-03-15</t>
        </is>
      </c>
      <c r="B7" s="5" t="inlineStr">
        <is>
          <t>Add CED values from ecoinvent to Materials sheet and verify against emissionFactors</t>
        </is>
      </c>
      <c r="C7" s="5" t="inlineStr">
        <is>
          <t>Low</t>
        </is>
      </c>
      <c r="D7" s="5" t="inlineStr">
        <is>
          <t>No</t>
        </is>
      </c>
      <c r="E7" s="5" t="n"/>
      <c r="F7" s="5" t="inlineStr">
        <is>
          <t>CED values in ALP arrays may not match Materials sheet. Harmonize.</t>
        </is>
      </c>
    </row>
    <row r="8" ht="21.75" customHeight="1" s="43">
      <c r="A8" s="2" t="inlineStr">
        <is>
          <t>2026-03-15</t>
        </is>
      </c>
      <c r="B8" s="2" t="inlineStr">
        <is>
          <t>Validate transport cost parameter (0.10 SGD/t*km) against Vietnamese logistics data</t>
        </is>
      </c>
      <c r="C8" s="2" t="inlineStr">
        <is>
          <t>Low</t>
        </is>
      </c>
      <c r="D8" s="2" t="inlineStr">
        <is>
          <t>No</t>
        </is>
      </c>
      <c r="E8" s="2" t="n"/>
      <c r="F8" s="2" t="inlineStr">
        <is>
          <t>Current value is a placeholder. Worldbank 2019 source covers GWP but not cost.</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2026-03-14T23:18:46Z</dcterms:created>
  <dcterms:modified xmlns:dcterms="http://purl.org/dc/terms/" xmlns:xsi="http://www.w3.org/2001/XMLSchema-instance" xsi:type="dcterms:W3CDTF">2026-03-25T17:17:49Z</dcterms:modified>
  <cp:lastModifiedBy>Caterina Puccio</cp:lastModifiedBy>
  <cp:revision>0</cp:revision>
</cp:coreProperties>
</file>